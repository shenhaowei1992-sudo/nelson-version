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OpenCode\"/>
    </mc:Choice>
  </mc:AlternateContent>
  <xr:revisionPtr revIDLastSave="0" documentId="13_ncr:1_{F3E9A0FD-7820-4F64-A7B7-CDF68CAAFD38}" xr6:coauthVersionLast="47" xr6:coauthVersionMax="47" xr10:uidLastSave="{00000000-0000-0000-0000-000000000000}"/>
  <bookViews>
    <workbookView xWindow="14325" yWindow="1665" windowWidth="33255" windowHeight="18840" xr2:uid="{00000000-000D-0000-FFFF-FFFF00000000}"/>
  </bookViews>
  <sheets>
    <sheet name="統合ソフト" sheetId="4" r:id="rId1"/>
    <sheet name="SOC" sheetId="1" r:id="rId2"/>
    <sheet name="MCU" sheetId="2" r:id="rId3"/>
    <sheet name="Amigo" sheetId="3" r:id="rId4"/>
    <sheet name="CANLIB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4" i="1"/>
  <c r="E72" i="4"/>
  <c r="D72" i="4"/>
  <c r="C72" i="4"/>
  <c r="E71" i="4"/>
  <c r="D71" i="4"/>
  <c r="C71" i="4"/>
  <c r="E70" i="4"/>
  <c r="D70" i="4"/>
  <c r="C70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D43" i="4"/>
  <c r="C43" i="4"/>
  <c r="E42" i="4"/>
  <c r="D42" i="4"/>
  <c r="C42" i="4"/>
  <c r="D41" i="4"/>
  <c r="C41" i="4"/>
  <c r="E40" i="4"/>
  <c r="D40" i="4"/>
  <c r="C40" i="4"/>
  <c r="D39" i="4"/>
  <c r="C39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C18" i="4"/>
  <c r="E17" i="4"/>
  <c r="D17" i="4"/>
  <c r="C17" i="4"/>
  <c r="D16" i="4"/>
  <c r="C16" i="4"/>
  <c r="C15" i="4"/>
  <c r="D14" i="4"/>
  <c r="C14" i="4"/>
  <c r="D13" i="4"/>
  <c r="C13" i="4"/>
  <c r="D12" i="4"/>
  <c r="D11" i="4"/>
  <c r="D10" i="4"/>
  <c r="C10" i="4"/>
  <c r="D9" i="4"/>
  <c r="C8" i="4"/>
  <c r="D7" i="4"/>
  <c r="C6" i="4"/>
  <c r="C5" i="4"/>
  <c r="D4" i="4"/>
  <c r="C4" i="4"/>
</calcChain>
</file>

<file path=xl/sharedStrings.xml><?xml version="1.0" encoding="utf-8"?>
<sst xmlns="http://schemas.openxmlformats.org/spreadsheetml/2006/main" count="397" uniqueCount="246">
  <si>
    <t>リリース日</t>
  </si>
  <si>
    <t>SOCバージョン</t>
  </si>
  <si>
    <t>MCUバージョン</t>
  </si>
  <si>
    <t>Amigoバージョン</t>
  </si>
  <si>
    <t>補足</t>
  </si>
  <si>
    <t>顧客</t>
  </si>
  <si>
    <t>PG80530101DATA80530010</t>
  </si>
  <si>
    <t>PG80530201DATA80530020</t>
  </si>
  <si>
    <t>Amigo顧客リリース</t>
  </si>
  <si>
    <t>-</t>
  </si>
  <si>
    <t>顧客リリース</t>
  </si>
  <si>
    <t>HUB対応</t>
  </si>
  <si>
    <t>ユーザバージョンアップ対応</t>
  </si>
  <si>
    <t>セキュアブート対応</t>
  </si>
  <si>
    <t>AIO用</t>
  </si>
  <si>
    <t>〇</t>
  </si>
  <si>
    <t>2024/9/18_2</t>
  </si>
  <si>
    <t>PG80530901DATA80530090</t>
  </si>
  <si>
    <t>AIO巻き替え用</t>
  </si>
  <si>
    <t>IOP1st</t>
  </si>
  <si>
    <t>PG80530D01DATA805300D0</t>
  </si>
  <si>
    <t>PP0事前/AIO指摘対応1st</t>
  </si>
  <si>
    <t>PG80530E01DATA805300E0</t>
  </si>
  <si>
    <t>Visteon送付/CP机上(CP用Socバージョン00.041600)/AIO指摘対応2nd</t>
  </si>
  <si>
    <t>CP実車(CP用Socバージョン00.041600)/AIO指摘対応3rd</t>
  </si>
  <si>
    <t>AIO巻き替え/IOP/３S書き込み用</t>
  </si>
  <si>
    <t>H60A機能折込</t>
  </si>
  <si>
    <t>ABCバグ0　PP1</t>
  </si>
  <si>
    <t>PT巻き替え　PP2</t>
  </si>
  <si>
    <t>PP2</t>
  </si>
  <si>
    <t>L02G/H60E緊急巻き替え</t>
  </si>
  <si>
    <t>HVPT</t>
  </si>
  <si>
    <t>RVCガイドラインFIX</t>
  </si>
  <si>
    <t>PG8F531501DATA8F530150</t>
  </si>
  <si>
    <t>H60E PP2ROM</t>
  </si>
  <si>
    <t>バージョン</t>
  </si>
  <si>
    <t>変更点概要</t>
  </si>
  <si>
    <t>0S対応</t>
  </si>
  <si>
    <t>Task 109661対応</t>
  </si>
  <si>
    <t>WiFi設定をデフォルトOffにする</t>
  </si>
  <si>
    <t>TestMode黒画問題Fix</t>
  </si>
  <si>
    <t>Change Request 134787
1S初回リリース</t>
  </si>
  <si>
    <t>Task 141792対応</t>
  </si>
  <si>
    <t>Task 145339</t>
  </si>
  <si>
    <t>Task 146766対応</t>
  </si>
  <si>
    <t>Task 151304</t>
  </si>
  <si>
    <t>Task 165146</t>
  </si>
  <si>
    <t>Task 168962
Task 168965</t>
  </si>
  <si>
    <t>Task 171626</t>
  </si>
  <si>
    <t>Task 175051</t>
  </si>
  <si>
    <t>Task 179588</t>
  </si>
  <si>
    <t>Task 180789_8 tile 20240328_縁取り</t>
  </si>
  <si>
    <t>Task 180789_8 tile</t>
  </si>
  <si>
    <t>Task 182629</t>
  </si>
  <si>
    <t>Task 184265</t>
  </si>
  <si>
    <t>Task 190631</t>
  </si>
  <si>
    <t>Task 193609</t>
  </si>
  <si>
    <t>Task 197064</t>
  </si>
  <si>
    <t>Task 200629</t>
  </si>
  <si>
    <t>↑と同様</t>
  </si>
  <si>
    <t>Task 205091</t>
  </si>
  <si>
    <t>Task 168962</t>
  </si>
  <si>
    <t>Task 207865</t>
  </si>
  <si>
    <t>Task 213442</t>
  </si>
  <si>
    <t>Task 212412</t>
  </si>
  <si>
    <t>Task 214892</t>
  </si>
  <si>
    <t>Task 214891</t>
  </si>
  <si>
    <t>Task 217554</t>
  </si>
  <si>
    <t>Task 217597</t>
  </si>
  <si>
    <t>Task 220326</t>
  </si>
  <si>
    <t>Task 220327</t>
  </si>
  <si>
    <t>Task 222670</t>
  </si>
  <si>
    <t>Task 227711</t>
  </si>
  <si>
    <t>Task 236863</t>
  </si>
  <si>
    <t>Task 245617</t>
  </si>
  <si>
    <t>Task 245609</t>
  </si>
  <si>
    <t>Task 245613</t>
  </si>
  <si>
    <t>Task 254519</t>
  </si>
  <si>
    <t>Task 245648</t>
  </si>
  <si>
    <t>Task 260950</t>
  </si>
  <si>
    <t>Task 275762</t>
  </si>
  <si>
    <t>Task 272883</t>
  </si>
  <si>
    <t>Task 273508</t>
  </si>
  <si>
    <t>Task 284313</t>
  </si>
  <si>
    <t>Task 287178</t>
  </si>
  <si>
    <t>Task 284319</t>
  </si>
  <si>
    <t>Task 284314</t>
  </si>
  <si>
    <t>Task 297697</t>
  </si>
  <si>
    <t>Task 305705</t>
  </si>
  <si>
    <t>Task 299927</t>
  </si>
  <si>
    <t>Task 320399</t>
  </si>
  <si>
    <t>Task 326321</t>
  </si>
  <si>
    <t>Task 327586</t>
  </si>
  <si>
    <t>Task 330285</t>
  </si>
  <si>
    <t>Task 336858</t>
  </si>
  <si>
    <t>Task 339469</t>
  </si>
  <si>
    <t>Task 330287</t>
  </si>
  <si>
    <t>Task 341523</t>
  </si>
  <si>
    <t>Task 348234</t>
  </si>
  <si>
    <t>00.01</t>
  </si>
  <si>
    <t>21.00</t>
  </si>
  <si>
    <t>ChangeRequest 122854
・CANWAKEUP
・DeepStop</t>
  </si>
  <si>
    <t>1S対応</t>
  </si>
  <si>
    <t>20.49</t>
  </si>
  <si>
    <t>20.55</t>
  </si>
  <si>
    <t>「NASDA_Timing Chart_Ver.0.05_20231120.xlsx」対応</t>
  </si>
  <si>
    <t>30.02</t>
  </si>
  <si>
    <t>Task 138678
暗電流問題対策</t>
  </si>
  <si>
    <t>30.13</t>
  </si>
  <si>
    <t>30.20</t>
  </si>
  <si>
    <t>Task 145339対応</t>
  </si>
  <si>
    <t>30.48</t>
  </si>
  <si>
    <t>30.90</t>
  </si>
  <si>
    <t>31.11</t>
  </si>
  <si>
    <t>31.21</t>
  </si>
  <si>
    <t>31.35</t>
  </si>
  <si>
    <t>31.42</t>
  </si>
  <si>
    <t>Task 180798</t>
  </si>
  <si>
    <t>31.50</t>
  </si>
  <si>
    <t>40.01</t>
  </si>
  <si>
    <t>40.18</t>
  </si>
  <si>
    <t>40.28</t>
  </si>
  <si>
    <t>40.42</t>
  </si>
  <si>
    <t>40.56</t>
  </si>
  <si>
    <t xml:space="preserve">Task 200629 </t>
  </si>
  <si>
    <t>40.71</t>
  </si>
  <si>
    <t>40.91</t>
  </si>
  <si>
    <t xml:space="preserve">Task 207865
</t>
  </si>
  <si>
    <t>40.72</t>
  </si>
  <si>
    <t>41.05</t>
  </si>
  <si>
    <t>41.19</t>
  </si>
  <si>
    <t>41.20</t>
  </si>
  <si>
    <t>40.73</t>
  </si>
  <si>
    <t>41.36</t>
  </si>
  <si>
    <t>41.48</t>
  </si>
  <si>
    <t>41.62</t>
  </si>
  <si>
    <t>41.75</t>
  </si>
  <si>
    <t>41.90</t>
  </si>
  <si>
    <t>42.07</t>
  </si>
  <si>
    <t>42.31</t>
  </si>
  <si>
    <t>42.45</t>
  </si>
  <si>
    <t>42.66</t>
  </si>
  <si>
    <t>42.74</t>
  </si>
  <si>
    <t>50.00</t>
  </si>
  <si>
    <t>50.01</t>
  </si>
  <si>
    <t>50.02</t>
  </si>
  <si>
    <t>50.03</t>
  </si>
  <si>
    <t>50.04</t>
  </si>
  <si>
    <t>50.05</t>
  </si>
  <si>
    <t>50.06</t>
  </si>
  <si>
    <t>PG</t>
  </si>
  <si>
    <t>DATA</t>
  </si>
  <si>
    <t>PG80530101</t>
  </si>
  <si>
    <t>DATA80530010</t>
  </si>
  <si>
    <t>IIC→UART変更、PORT変更、音源対応
火入れ対応（HIFI無効暫対策+Rear無音暫対策）</t>
  </si>
  <si>
    <t>PG80530201</t>
  </si>
  <si>
    <t>DATA80530020</t>
  </si>
  <si>
    <t>Radio周波数関連Spec対応
HIFI、SoundEngine無効化対応
Media音源で後席の音が出ない(Rear無音暫対策)
「Redmine#111303 【M7GRT-L】 LevelOffsetの合計が最大値73の場合、対応するレジスタの値が正しくありません」横展開
#63789：BestStationの無効化</t>
  </si>
  <si>
    <t>PG80530301</t>
  </si>
  <si>
    <t>DATA80530030</t>
  </si>
  <si>
    <r>
      <rPr>
        <sz val="11"/>
        <color theme="1"/>
        <rFont val="等线"/>
        <charset val="134"/>
        <scheme val="minor"/>
      </rPr>
      <t>AudioDSP対応（</t>
    </r>
    <r>
      <rPr>
        <sz val="11"/>
        <color rgb="FFFF0000"/>
        <rFont val="等线"/>
        <charset val="134"/>
        <scheme val="minor"/>
      </rPr>
      <t>※MultiLimiter対応無効、DLOUD Flat設定する</t>
    </r>
    <r>
      <rPr>
        <sz val="11"/>
        <color theme="1"/>
        <rFont val="等线"/>
        <charset val="134"/>
        <scheme val="minor"/>
      </rPr>
      <t>）
AudioDSP変更よりAudioパラメータ変更対応
HDMマイクとMICChange対応
DuckUnDunk新規対応
ラジオのFMアライメント
E-Siri向け4chREF新規対応
HF Volume curve変更対応
FlatOnでボリュームが22から上がらず課題対応</t>
    </r>
  </si>
  <si>
    <t>PG80530401</t>
  </si>
  <si>
    <t>DATA80530040</t>
  </si>
  <si>
    <t>AudioDSP対応：HFと割込みのlevelIF変更対応
AudioDSP変更よりAudioパラメータ組み込み対応</t>
  </si>
  <si>
    <t>PG80530501</t>
  </si>
  <si>
    <t>DATA80530050</t>
  </si>
  <si>
    <t>[Tuner] RDS AF時、FM周波数自動変更問題
MT一回目「Redmine#124306【NASDA】SYSAMIOG通信変更IIC⇒UART（表ソフト）」
MT一回目「Redmine#124714【NASDA】SYSAMIOG通信変更IIC⇒UART（裏ソフト）」
QAC一回目「Redmine#124306【NASDA】SYSAMIOG通信変更IIC⇒UART（表ソフト）」
QAC一回目「Redmine#124714【NASDA】SYSAMIOG通信変更IIC⇒UART（裏ソフト）」</t>
  </si>
  <si>
    <t>PG80530601</t>
  </si>
  <si>
    <t>DATA80530060</t>
  </si>
  <si>
    <t>【NASDA】Radioパラメータ変更
Issue 176691【NASDA】[Tuner]周波数調整失敗問題
【NASDA】[Tuner]SCAN受信中にSeek不可問題
【NASDA】[Tuner]SCAN Seek中のSeek方向が間違っている問題
【NASDA】[Tuner]SCAN Seek中と受信中にManual Up/Down不可問題</t>
  </si>
  <si>
    <t>PG80530701</t>
  </si>
  <si>
    <t>DATA80530070</t>
  </si>
  <si>
    <t>【NASDA】CarPlay AddendumR8対応_Main
【NASDA】P13C関連Port対応
【NASDA】Carplay Tel Ref 1ch-&gt;4ch関する変更
【NASDA】QAC二回目(NO SOFT CHANGE)
【NASDA】MT二回目
【NASDA】QAC三回目(NO SOFT CHANGE)
【NASDA】MT三回目</t>
  </si>
  <si>
    <t>PG80530801</t>
  </si>
  <si>
    <t>DATA80530080</t>
  </si>
  <si>
    <t>【NASDA】PI取得不可状態でのPS表示用の情報は5秒後消去不可
【NASDA】ハードフィートバック　ラジオ（AMラジオのレベルIF変更対応）
【NASDA】SpecTableのAMのSEEK感度の変更とprfm_tblの書き込み</t>
  </si>
  <si>
    <t>PG80530901</t>
  </si>
  <si>
    <t>DATA80530090</t>
  </si>
  <si>
    <t>【NASDA】Port20~23変更対応
【NASDA】Amigo VerUp問題</t>
  </si>
  <si>
    <t>PG80530A01</t>
  </si>
  <si>
    <t>DATA805300A0</t>
  </si>
  <si>
    <t>【NASDA】NDS HPF100Hz 削除対応
【NASDA】「【24市販】 起動直後にTDM_CLKが一瞬出力される」横展開</t>
  </si>
  <si>
    <t>PG80530B01</t>
  </si>
  <si>
    <t>DATA805300B0</t>
  </si>
  <si>
    <t>【NASDA】制御仕様 フラットモード
【NASDA】MT四回目</t>
  </si>
  <si>
    <t>PG80530C01</t>
  </si>
  <si>
    <t>DATA805300C0</t>
  </si>
  <si>
    <t>【NASDA】Coverity対応_二回目
【NASDA】MultiBandLimiter(2Ωと4Ω)パラメータの組み込み対応</t>
  </si>
  <si>
    <t>PG80530D01</t>
  </si>
  <si>
    <t>DATA805300D0</t>
  </si>
  <si>
    <t>【NASDA】スピーカー数２の車両でもスピーカー４つから音が出力される</t>
  </si>
  <si>
    <t>PG80530E01</t>
  </si>
  <si>
    <t>DATA805300E0</t>
  </si>
  <si>
    <t>【NASDA】MBAとCPTelをダッキングしない対応
【NASDA】 Ring_Media音源追加とレベルIF変更
【NASDA】 HF-Delayパラメータ組込</t>
  </si>
  <si>
    <t>PG80530F01</t>
  </si>
  <si>
    <t>DATA805300F0</t>
  </si>
  <si>
    <t>【NASDA】 システム検証(IT3)_スタック検証_スタックサイズ調整
【NASDA】H60E向けの2スピーカー対応
【NASDA】 HFパラメータフラット変更</t>
  </si>
  <si>
    <t>PG80531001</t>
  </si>
  <si>
    <t>DATA80530100</t>
  </si>
  <si>
    <t>【NASDA】車速信号一定なのに音量がばらつく(1~2dB程度)症）（【NASDA】車速連動ボリューム テーブル更新）
【NASDA】ラジオパラメータ変更対応
【NASDA】UMC-Delay_C制御変更対応
【NASDA】Coverity 3回目
【NASDA】MT 5回目
【NASDA】QAC 5回目</t>
  </si>
  <si>
    <t>PG80531101</t>
  </si>
  <si>
    <t>DATA80530110</t>
  </si>
  <si>
    <t xml:space="preserve">【Global DA (NASDA passive) 】Radioパラメータ対応_正式
【NASDA】LAC_91MHz音声異常
【Global DA (NASDA passive) 】H60A FixEQパラメータ反映（【NASDA】ラジオ受信できない）
</t>
  </si>
  <si>
    <t>PG80531201</t>
  </si>
  <si>
    <t>DATA80530120</t>
  </si>
  <si>
    <t>【NASDA】車速連動VOL_制御変更
【NASDA】Coverity対応_四回目
【Global DA (NASDA passive) 】周波数調整失敗、SCAN受信中にSeek不可、SCAN Seek中のSeek方向が間違っているとSCAN Seek中と受信中にManual Up/Down不可問題（NASDAから横展）</t>
  </si>
  <si>
    <t>PG80531301</t>
  </si>
  <si>
    <t>DATA80530130</t>
  </si>
  <si>
    <t>【NASDA】L02G_FixEQ変更対応</t>
  </si>
  <si>
    <t>PG80531401</t>
  </si>
  <si>
    <t>DATA80530140</t>
  </si>
  <si>
    <t>【NASDA】H60Eの2Speaker、4Ω車輛向け、MICMODECHANGEがNG</t>
  </si>
  <si>
    <t>PG80531501</t>
  </si>
  <si>
    <t>DATA80530150</t>
  </si>
  <si>
    <t>H60E FixEQ`対応</t>
  </si>
  <si>
    <t>0000</t>
  </si>
  <si>
    <t>CANWAKEUP対応</t>
  </si>
  <si>
    <t>0001</t>
  </si>
  <si>
    <t>Speed通知500ms→100ms
その他結合時ITバグ修正</t>
  </si>
  <si>
    <t>0002</t>
  </si>
  <si>
    <t>問題点No.35：EQPIN判定をMCUと合わせて修正
Task# 145239再起動パラメーターを追加</t>
  </si>
  <si>
    <t>0004</t>
  </si>
  <si>
    <t>ウェイクアップタイム変更(160ms→150ms)</t>
  </si>
  <si>
    <t>0006</t>
  </si>
  <si>
    <t>①ConceptのNG対応
②Coverity対応
③MCANバグ対応</t>
  </si>
  <si>
    <t>0007</t>
  </si>
  <si>
    <t>NDFログサイズの対応</t>
  </si>
  <si>
    <t>0008</t>
  </si>
  <si>
    <t>VCAN機能でS1タイマーの修正</t>
  </si>
  <si>
    <t>0009</t>
  </si>
  <si>
    <t>再帰関数修正</t>
  </si>
  <si>
    <t>0010</t>
  </si>
  <si>
    <t>DCAN受信処理が割込みから2msサイクリックへ移動
外部WDT制御追加(VCAN_STB設定と同じタイミング)
アプリケーションノート変更対応(VCAN_TX のSTOP時の設定　"H")</t>
  </si>
  <si>
    <t>0011</t>
  </si>
  <si>
    <t>ACC OFF⇒ON時にMCanのTxノイズ出力の修正(問題リストNo65)</t>
  </si>
  <si>
    <t>↑同様</t>
  </si>
  <si>
    <t>0012</t>
  </si>
  <si>
    <t>Coverity指摘対応(can_module_if.hの修正)</t>
  </si>
  <si>
    <t>0013</t>
  </si>
  <si>
    <t>L02Dメータ対応</t>
  </si>
  <si>
    <t>0014</t>
  </si>
  <si>
    <t>NDFログにメータバージョン情報の追加</t>
  </si>
  <si>
    <t>0015</t>
  </si>
  <si>
    <t>NDFログにメータバージョン情報の追加(ミス修正)</t>
  </si>
  <si>
    <t>0016</t>
  </si>
  <si>
    <t>・CMF周期送信タイマー修正
・Tq数の変更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</si>
</sst>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0.000000_ "/>
  </numFmts>
  <fonts count="6">
    <font>
      <sz val="11"/>
      <color theme="1"/>
      <name val="等线"/>
      <charset val="134"/>
      <scheme val="minor"/>
    </font>
    <font>
      <sz val="11"/>
      <color theme="1"/>
      <name val="Microsoft YaHei"/>
      <charset val="134"/>
    </font>
    <font>
      <sz val="11"/>
      <color rgb="FFFF0000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601733451338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2" borderId="1" xfId="0" applyFill="1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179" fontId="0" fillId="0" borderId="1" xfId="0" applyNumberFormat="1" applyBorder="1"/>
    <xf numFmtId="14" fontId="0" fillId="3" borderId="1" xfId="0" applyNumberFormat="1" applyFill="1" applyBorder="1"/>
    <xf numFmtId="179" fontId="0" fillId="3" borderId="1" xfId="0" applyNumberFormat="1" applyFill="1" applyBorder="1"/>
    <xf numFmtId="0" fontId="0" fillId="3" borderId="1" xfId="0" applyFill="1" applyBorder="1"/>
    <xf numFmtId="0" fontId="1" fillId="0" borderId="1" xfId="0" applyFont="1" applyBorder="1"/>
    <xf numFmtId="0" fontId="0" fillId="3" borderId="1" xfId="0" quotePrefix="1" applyFill="1" applyBorder="1"/>
    <xf numFmtId="0" fontId="0" fillId="0" borderId="1" xfId="0" quotePrefix="1" applyBorder="1"/>
    <xf numFmtId="178" fontId="0" fillId="0" borderId="1" xfId="0" quotePrefix="1" applyNumberFormat="1" applyBorder="1"/>
    <xf numFmtId="0" fontId="0" fillId="0" borderId="1" xfId="0" quotePrefix="1" applyBorder="1" applyAlignment="1">
      <alignment horizontal="left" vertical="top"/>
    </xf>
  </cellXfs>
  <cellStyles count="2">
    <cellStyle name="標準 2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87"/>
  <sheetViews>
    <sheetView tabSelected="1" workbookViewId="0">
      <selection activeCell="F10" sqref="F10"/>
    </sheetView>
  </sheetViews>
  <sheetFormatPr defaultColWidth="9" defaultRowHeight="14.25"/>
  <cols>
    <col min="2" max="2" width="11" customWidth="1"/>
    <col min="3" max="3" width="15.125" customWidth="1"/>
    <col min="4" max="4" width="15.75" customWidth="1"/>
    <col min="5" max="5" width="24.75" customWidth="1"/>
    <col min="6" max="6" width="62.75" customWidth="1"/>
  </cols>
  <sheetData>
    <row r="3" spans="2:7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2:7">
      <c r="B4" s="12">
        <v>45170</v>
      </c>
      <c r="C4" s="13">
        <f>SOC!C4</f>
        <v>1.1E-4</v>
      </c>
      <c r="D4" s="16" t="str">
        <f>MCU!C4</f>
        <v>00.01</v>
      </c>
      <c r="E4" s="14" t="s">
        <v>6</v>
      </c>
      <c r="F4" s="14">
        <v>11</v>
      </c>
      <c r="G4" s="6"/>
    </row>
    <row r="5" spans="2:7">
      <c r="B5" s="12">
        <v>45225</v>
      </c>
      <c r="C5" s="13">
        <f>SOC!C5</f>
        <v>2.0410000000000001E-2</v>
      </c>
      <c r="D5" s="14"/>
      <c r="E5" s="14"/>
      <c r="F5" s="14">
        <v>22</v>
      </c>
      <c r="G5" s="6"/>
    </row>
    <row r="6" spans="2:7">
      <c r="B6" s="12">
        <v>45229</v>
      </c>
      <c r="C6" s="13">
        <f>SOC!C6</f>
        <v>2.0459999999999999E-2</v>
      </c>
      <c r="D6" s="14"/>
      <c r="E6" s="14"/>
      <c r="F6" s="14">
        <v>33</v>
      </c>
      <c r="G6" s="6"/>
    </row>
    <row r="7" spans="2:7">
      <c r="B7" s="5">
        <v>45230</v>
      </c>
      <c r="C7" s="11"/>
      <c r="D7" s="17" t="str">
        <f>MCU!C5</f>
        <v>21.00</v>
      </c>
      <c r="E7" s="6"/>
      <c r="F7" s="6">
        <v>44</v>
      </c>
      <c r="G7" s="6"/>
    </row>
    <row r="8" spans="2:7">
      <c r="B8" s="5">
        <v>45231</v>
      </c>
      <c r="C8" s="11">
        <f>SOC!C7</f>
        <v>2.051E-2</v>
      </c>
      <c r="D8" s="6"/>
      <c r="E8" s="6"/>
      <c r="F8" s="6">
        <v>55</v>
      </c>
      <c r="G8" s="6"/>
    </row>
    <row r="9" spans="2:7">
      <c r="B9" s="5">
        <v>45236</v>
      </c>
      <c r="C9" s="11"/>
      <c r="D9" s="17" t="str">
        <f>MCU!C6</f>
        <v>00.01</v>
      </c>
      <c r="E9" s="6"/>
      <c r="F9" s="6">
        <v>66</v>
      </c>
      <c r="G9" s="6"/>
    </row>
    <row r="10" spans="2:7">
      <c r="B10" s="5">
        <v>45244</v>
      </c>
      <c r="C10" s="11">
        <f>SOC!C8</f>
        <v>2.07E-2</v>
      </c>
      <c r="D10" s="17" t="str">
        <f>MCU!C7</f>
        <v>20.49</v>
      </c>
      <c r="E10" s="6"/>
      <c r="F10" s="6"/>
      <c r="G10" s="6"/>
    </row>
    <row r="11" spans="2:7">
      <c r="B11" s="5">
        <v>45250</v>
      </c>
      <c r="C11" s="11"/>
      <c r="D11" s="17" t="str">
        <f>MCU!C8</f>
        <v>20.55</v>
      </c>
      <c r="E11" s="6"/>
      <c r="F11" s="6"/>
      <c r="G11" s="6"/>
    </row>
    <row r="12" spans="2:7">
      <c r="B12" s="5">
        <v>45264</v>
      </c>
      <c r="C12" s="11"/>
      <c r="D12" s="17" t="str">
        <f>MCU!C9</f>
        <v>30.02</v>
      </c>
      <c r="E12" s="6"/>
      <c r="F12" s="6"/>
      <c r="G12" s="6"/>
    </row>
    <row r="13" spans="2:7">
      <c r="B13" s="5">
        <v>45271</v>
      </c>
      <c r="C13" s="11">
        <f>SOC!C9</f>
        <v>3.0159999999999999E-2</v>
      </c>
      <c r="D13" s="17" t="str">
        <f>MCU!C10</f>
        <v>30.13</v>
      </c>
      <c r="E13" s="6" t="s">
        <v>7</v>
      </c>
      <c r="F13" s="6" t="s">
        <v>8</v>
      </c>
      <c r="G13" s="6"/>
    </row>
    <row r="14" spans="2:7">
      <c r="B14" s="5">
        <v>45279</v>
      </c>
      <c r="C14" s="11">
        <f>SOC!C10</f>
        <v>3.0300000000000001E-2</v>
      </c>
      <c r="D14" s="17" t="str">
        <f>MCU!C11</f>
        <v>30.20</v>
      </c>
      <c r="E14" s="6" t="s">
        <v>9</v>
      </c>
      <c r="F14" s="6" t="s">
        <v>10</v>
      </c>
      <c r="G14" s="6"/>
    </row>
    <row r="15" spans="2:7">
      <c r="B15" s="5">
        <v>45282</v>
      </c>
      <c r="C15" s="11">
        <f>SOC!C11</f>
        <v>3.0331E-2</v>
      </c>
      <c r="D15" s="6"/>
      <c r="E15" s="6"/>
      <c r="F15" s="6" t="s">
        <v>10</v>
      </c>
      <c r="G15" s="6"/>
    </row>
    <row r="16" spans="2:7" ht="16.5">
      <c r="B16" s="5">
        <v>45306</v>
      </c>
      <c r="C16" s="11">
        <f>SOC!C12</f>
        <v>3.066E-2</v>
      </c>
      <c r="D16" s="17" t="str">
        <f>MCU!C12</f>
        <v>30.48</v>
      </c>
      <c r="E16" s="15" t="s">
        <v>9</v>
      </c>
      <c r="F16" s="6" t="s">
        <v>11</v>
      </c>
      <c r="G16" s="6"/>
    </row>
    <row r="17" spans="2:7">
      <c r="B17" s="5">
        <v>45348</v>
      </c>
      <c r="C17" s="11">
        <f>SOC!C13</f>
        <v>3.1260000000000003E-2</v>
      </c>
      <c r="D17" s="17" t="str">
        <f>MCU!C13</f>
        <v>30.90</v>
      </c>
      <c r="E17" s="6" t="str">
        <f>Amigo!C6&amp;Amigo!D6</f>
        <v>PG80530301DATA80530030</v>
      </c>
      <c r="F17" s="6" t="s">
        <v>12</v>
      </c>
      <c r="G17" s="6"/>
    </row>
    <row r="18" spans="2:7">
      <c r="B18" s="5">
        <v>45357</v>
      </c>
      <c r="C18" s="11">
        <f>SOC!C14</f>
        <v>3.1260999999999997E-2</v>
      </c>
      <c r="D18" s="6" t="s">
        <v>9</v>
      </c>
      <c r="E18" s="6" t="s">
        <v>9</v>
      </c>
      <c r="F18" s="6"/>
      <c r="G18" s="6"/>
    </row>
    <row r="19" spans="2:7">
      <c r="B19" s="5">
        <v>45369</v>
      </c>
      <c r="C19" s="11">
        <f>SOC!C15</f>
        <v>3.1559999999999998E-2</v>
      </c>
      <c r="D19" s="17" t="str">
        <f>MCU!C14</f>
        <v>31.11</v>
      </c>
      <c r="E19" s="6" t="str">
        <f>Amigo!C7&amp;Amigo!D7</f>
        <v>PG80530401DATA80530040</v>
      </c>
      <c r="F19" s="6" t="s">
        <v>13</v>
      </c>
      <c r="G19" s="6"/>
    </row>
    <row r="20" spans="2:7">
      <c r="B20" s="5">
        <v>45383</v>
      </c>
      <c r="C20" s="11">
        <f>SOC!C16</f>
        <v>3.1699999999999999E-2</v>
      </c>
      <c r="D20" s="17" t="str">
        <f>MCU!C15</f>
        <v>31.21</v>
      </c>
      <c r="E20" s="6" t="str">
        <f>Amigo!C7&amp;Amigo!D7</f>
        <v>PG80530401DATA80530040</v>
      </c>
      <c r="F20" s="6"/>
      <c r="G20" s="6"/>
    </row>
    <row r="21" spans="2:7">
      <c r="B21" s="5">
        <v>45397</v>
      </c>
      <c r="C21" s="11">
        <f>SOC!C17</f>
        <v>3.1899999999999998E-2</v>
      </c>
      <c r="D21" s="17" t="str">
        <f>MCU!C16</f>
        <v>31.35</v>
      </c>
      <c r="E21" s="6" t="str">
        <f>Amigo!C9&amp;Amigo!D9</f>
        <v>PG80530501DATA80530050</v>
      </c>
      <c r="F21" s="6"/>
      <c r="G21" s="6"/>
    </row>
    <row r="22" spans="2:7">
      <c r="B22" s="5">
        <v>45406</v>
      </c>
      <c r="C22" s="11">
        <f>SOC!C18</f>
        <v>3.2030000000000003E-2</v>
      </c>
      <c r="D22" s="17" t="str">
        <f>MCU!C17</f>
        <v>31.42</v>
      </c>
      <c r="E22" s="6" t="str">
        <f>E21</f>
        <v>PG80530501DATA80530050</v>
      </c>
      <c r="F22" s="6"/>
      <c r="G22" s="6"/>
    </row>
    <row r="23" spans="2:7">
      <c r="B23" s="5">
        <v>45407</v>
      </c>
      <c r="C23" s="11">
        <f>SOC!C19</f>
        <v>3.2030999999999997E-2</v>
      </c>
      <c r="D23" s="17" t="str">
        <f>MCU!C17</f>
        <v>31.42</v>
      </c>
      <c r="E23" s="6" t="str">
        <f>E22</f>
        <v>PG80530501DATA80530050</v>
      </c>
      <c r="F23" s="6"/>
      <c r="G23" s="6"/>
    </row>
    <row r="24" spans="2:7">
      <c r="B24" s="5">
        <v>45411</v>
      </c>
      <c r="C24" s="11">
        <f>SOC!C20</f>
        <v>3.2099999999999997E-2</v>
      </c>
      <c r="D24" s="17" t="str">
        <f>MCU!C18</f>
        <v>31.50</v>
      </c>
      <c r="E24" s="6" t="str">
        <f>Amigo!C10&amp;Amigo!D10</f>
        <v>PG80530601DATA80530060</v>
      </c>
      <c r="F24" s="6"/>
      <c r="G24" s="6"/>
    </row>
    <row r="25" spans="2:7">
      <c r="B25" s="5">
        <v>45432</v>
      </c>
      <c r="C25" s="11">
        <f>VLOOKUP(B25,SOC!B:D,2,FALSE)</f>
        <v>0.04</v>
      </c>
      <c r="D25" s="17" t="str">
        <f>VLOOKUP(B25,MCU!B:D,2,FALSE)</f>
        <v>40.01</v>
      </c>
      <c r="E25" s="6" t="str">
        <f>(VLOOKUP(B25,Amigo!B:E,2,FALSE))&amp;(VLOOKUP(B25,Amigo!B:E,3,FALSE))</f>
        <v>↑と同様↑と同様</v>
      </c>
      <c r="F25" s="6"/>
      <c r="G25" s="6"/>
    </row>
    <row r="26" spans="2:7">
      <c r="B26" s="5">
        <v>45446</v>
      </c>
      <c r="C26" s="11">
        <f>VLOOKUP(B26,SOC!B:D,2,FALSE)</f>
        <v>4.02E-2</v>
      </c>
      <c r="D26" s="17" t="str">
        <f>VLOOKUP(B26,MCU!B:D,2,FALSE)</f>
        <v>40.18</v>
      </c>
      <c r="E26" s="6" t="str">
        <f>(VLOOKUP(B26,Amigo!B:E,2,FALSE))&amp;(VLOOKUP(B26,Amigo!B:E,3,FALSE))</f>
        <v>↑と同様↑と同様</v>
      </c>
      <c r="F26" s="6"/>
      <c r="G26" s="6"/>
    </row>
    <row r="27" spans="2:7">
      <c r="B27" s="5">
        <v>45460</v>
      </c>
      <c r="C27" s="11">
        <f>VLOOKUP(B27,SOC!B:D,2,FALSE)</f>
        <v>4.0399999999999998E-2</v>
      </c>
      <c r="D27" s="17" t="str">
        <f>VLOOKUP(B27,MCU!B:D,2,FALSE)</f>
        <v>40.28</v>
      </c>
      <c r="E27" s="6" t="str">
        <f>(VLOOKUP(B27,Amigo!B:E,2,FALSE))&amp;(VLOOKUP(B27,Amigo!B:E,3,FALSE))</f>
        <v>PG80530701DATA80530070</v>
      </c>
      <c r="F27" s="6"/>
      <c r="G27" s="6"/>
    </row>
    <row r="28" spans="2:7">
      <c r="B28" s="5">
        <v>45474</v>
      </c>
      <c r="C28" s="11">
        <f>VLOOKUP(B28,SOC!B:D,2,FALSE)</f>
        <v>4.0599999999999997E-2</v>
      </c>
      <c r="D28" s="17" t="str">
        <f>VLOOKUP(B28,MCU!B:D,2,FALSE)</f>
        <v>40.42</v>
      </c>
      <c r="E28" s="6" t="str">
        <f>(VLOOKUP(B28,Amigo!B:E,2,FALSE))&amp;(VLOOKUP(B28,Amigo!B:E,3,FALSE))</f>
        <v>↑と同様↑と同様</v>
      </c>
      <c r="F28" s="6"/>
      <c r="G28" s="6"/>
    </row>
    <row r="29" spans="2:7">
      <c r="B29" s="5">
        <v>45488</v>
      </c>
      <c r="C29" s="11">
        <f>VLOOKUP(B29,SOC!B:D,2,FALSE)</f>
        <v>4.0800000000000003E-2</v>
      </c>
      <c r="D29" s="17" t="str">
        <f>VLOOKUP(B29,MCU!B:D,2,FALSE)</f>
        <v>40.56</v>
      </c>
      <c r="E29" s="6" t="str">
        <f>(VLOOKUP(B29,Amigo!B:E,2,FALSE))&amp;(VLOOKUP(B29,Amigo!B:E,3,FALSE))</f>
        <v>PG80530801DATA80530080</v>
      </c>
      <c r="F29" s="6"/>
      <c r="G29" s="6"/>
    </row>
    <row r="30" spans="2:7">
      <c r="B30" s="5">
        <v>45492</v>
      </c>
      <c r="C30" s="11" t="str">
        <f>VLOOKUP(B30,SOC!B:D,2,FALSE)</f>
        <v>↑と同様</v>
      </c>
      <c r="D30" s="6" t="str">
        <f>VLOOKUP(B30,MCU!B:D,2,FALSE)</f>
        <v>↑と同様</v>
      </c>
      <c r="E30" s="6" t="str">
        <f>(VLOOKUP(B30,Amigo!B:E,2,FALSE))&amp;(VLOOKUP(B30,Amigo!B:E,3,FALSE))</f>
        <v>PG80530901DATA80530090</v>
      </c>
      <c r="F30" s="6"/>
      <c r="G30" s="6"/>
    </row>
    <row r="31" spans="2:7">
      <c r="B31" s="5">
        <v>45502</v>
      </c>
      <c r="C31" s="11">
        <f>VLOOKUP(B31,SOC!B:D,2,FALSE)</f>
        <v>4.1000000000000002E-2</v>
      </c>
      <c r="D31" s="17" t="str">
        <f>VLOOKUP(B31,MCU!B:D,2,FALSE)</f>
        <v>40.71</v>
      </c>
      <c r="E31" s="6" t="str">
        <f>(VLOOKUP(B31,Amigo!B:E,2,FALSE))&amp;(VLOOKUP(B31,Amigo!B:E,3,FALSE))</f>
        <v>↑と同様↑と同様</v>
      </c>
      <c r="F31" s="6"/>
      <c r="G31" s="6"/>
    </row>
    <row r="32" spans="2:7">
      <c r="B32" s="5">
        <v>45510</v>
      </c>
      <c r="C32" s="11">
        <f>VLOOKUP(B32,SOC!B:D,2,FALSE)</f>
        <v>4.1099999999999998E-2</v>
      </c>
      <c r="D32" s="6" t="str">
        <f>VLOOKUP(B32,MCU!B:D,2,FALSE)</f>
        <v>↑と同様</v>
      </c>
      <c r="E32" s="6" t="str">
        <f>(VLOOKUP(B32,Amigo!B:E,2,FALSE))&amp;(VLOOKUP(B32,Amigo!B:E,3,FALSE))</f>
        <v>↑と同様↑と同様</v>
      </c>
      <c r="F32" s="6" t="s">
        <v>14</v>
      </c>
      <c r="G32" s="6" t="s">
        <v>15</v>
      </c>
    </row>
    <row r="33" spans="2:7">
      <c r="B33" s="5">
        <v>45523</v>
      </c>
      <c r="C33" s="11">
        <f>VLOOKUP(B33,SOC!B:D,2,FALSE)</f>
        <v>4.1300000000000003E-2</v>
      </c>
      <c r="D33" s="17" t="str">
        <f>VLOOKUP(B33,MCU!B:D,2,FALSE)</f>
        <v>40.91</v>
      </c>
      <c r="E33" s="6" t="str">
        <f>(VLOOKUP(B33,Amigo!B:E,2,FALSE))&amp;(VLOOKUP(B33,Amigo!B:E,3,FALSE))</f>
        <v>PG80530A01DATA805300A0</v>
      </c>
      <c r="F33" s="6"/>
      <c r="G33" s="6"/>
    </row>
    <row r="34" spans="2:7">
      <c r="B34" s="5">
        <v>45534</v>
      </c>
      <c r="C34" s="11">
        <f>VLOOKUP(B34,SOC!B:D,2,FALSE)</f>
        <v>4.1099999999999998E-2</v>
      </c>
      <c r="D34" s="17" t="str">
        <f>VLOOKUP(B34,MCU!B:D,2,FALSE)</f>
        <v>40.72</v>
      </c>
      <c r="E34" s="6" t="str">
        <f>E30</f>
        <v>PG80530901DATA80530090</v>
      </c>
      <c r="F34" s="6"/>
      <c r="G34" s="6"/>
    </row>
    <row r="35" spans="2:7">
      <c r="B35" s="5">
        <v>45537</v>
      </c>
      <c r="C35" s="11">
        <f>VLOOKUP(B35,SOC!B:D,2,FALSE)</f>
        <v>4.1500000000000002E-2</v>
      </c>
      <c r="D35" s="17" t="str">
        <f>VLOOKUP(B35,MCU!B:D,2,FALSE)</f>
        <v>41.05</v>
      </c>
      <c r="E35" s="6" t="str">
        <f>Amigo!C21&amp;Amigo!D21</f>
        <v>PG80530B01DATA805300B0</v>
      </c>
      <c r="F35" s="6"/>
      <c r="G35" s="6"/>
    </row>
    <row r="36" spans="2:7">
      <c r="B36" s="5">
        <v>45553</v>
      </c>
      <c r="C36" s="11">
        <f>VLOOKUP(B36,SOC!B:D,2,FALSE)</f>
        <v>4.1700000000000001E-2</v>
      </c>
      <c r="D36" s="17" t="str">
        <f>VLOOKUP(B36,MCU!B:D,2,FALSE)</f>
        <v>41.19</v>
      </c>
      <c r="E36" s="6" t="str">
        <f>Amigo!C22&amp;Amigo!D22</f>
        <v>PG80530C01DATA805300C0</v>
      </c>
      <c r="F36" s="6"/>
      <c r="G36" s="6"/>
    </row>
    <row r="37" spans="2:7">
      <c r="B37" s="6" t="s">
        <v>16</v>
      </c>
      <c r="C37" s="11">
        <f>VLOOKUP(B37,SOC!B:D,2,FALSE)</f>
        <v>4.1709999999999997E-2</v>
      </c>
      <c r="D37" s="17" t="str">
        <f>VLOOKUP(B37,MCU!B:D,2,FALSE)</f>
        <v>41.19</v>
      </c>
      <c r="E37" s="6" t="str">
        <f>Amigo!C22&amp;Amigo!D22</f>
        <v>PG80530C01DATA805300C0</v>
      </c>
      <c r="F37" s="6"/>
      <c r="G37" s="6"/>
    </row>
    <row r="38" spans="2:7">
      <c r="B38" s="5">
        <v>45554</v>
      </c>
      <c r="C38" s="11">
        <f>VLOOKUP(B38,SOC!B:D,2,FALSE)</f>
        <v>4.1700000000000001E-2</v>
      </c>
      <c r="D38" s="17" t="str">
        <f>VLOOKUP(B38,MCU!B:D,2,FALSE)</f>
        <v>41.20</v>
      </c>
      <c r="E38" s="6" t="s">
        <v>9</v>
      </c>
      <c r="F38" s="6"/>
      <c r="G38" s="6"/>
    </row>
    <row r="39" spans="2:7">
      <c r="B39" s="5">
        <v>45555</v>
      </c>
      <c r="C39" s="11">
        <f>VLOOKUP(B39,SOC!B:D,2,FALSE)</f>
        <v>4.1099999999999998E-2</v>
      </c>
      <c r="D39" s="17" t="str">
        <f>VLOOKUP(B39,MCU!B:D,2,FALSE)</f>
        <v>40.73</v>
      </c>
      <c r="E39" s="6" t="s">
        <v>17</v>
      </c>
      <c r="F39" s="6" t="s">
        <v>18</v>
      </c>
      <c r="G39" s="6" t="s">
        <v>15</v>
      </c>
    </row>
    <row r="40" spans="2:7">
      <c r="B40" s="5">
        <v>45564</v>
      </c>
      <c r="C40" s="11">
        <f>VLOOKUP(B40,SOC!B:D,2,FALSE)</f>
        <v>4.19E-2</v>
      </c>
      <c r="D40" s="17" t="str">
        <f>VLOOKUP(B40,MCU!B:D,2,FALSE)</f>
        <v>41.36</v>
      </c>
      <c r="E40" s="6" t="str">
        <f>(VLOOKUP(B40,Amigo!B:E,2,FALSE))&amp;(VLOOKUP(B40,Amigo!B:E,3,FALSE))</f>
        <v>PG80530D01DATA805300D0</v>
      </c>
      <c r="F40" s="6" t="s">
        <v>19</v>
      </c>
      <c r="G40" s="6"/>
    </row>
    <row r="41" spans="2:7">
      <c r="B41" s="5">
        <v>45579</v>
      </c>
      <c r="C41" s="11">
        <f>VLOOKUP(B41,SOC!B:D,2,FALSE)</f>
        <v>4.2099999999999999E-2</v>
      </c>
      <c r="D41" s="17" t="str">
        <f>VLOOKUP(B41,MCU!B:D,2,FALSE)</f>
        <v>41.48</v>
      </c>
      <c r="E41" s="6" t="s">
        <v>20</v>
      </c>
      <c r="F41" s="6"/>
      <c r="G41" s="6"/>
    </row>
    <row r="42" spans="2:7">
      <c r="B42" s="5">
        <v>45593</v>
      </c>
      <c r="C42" s="11">
        <f>VLOOKUP(B42,SOC!B:D,2,FALSE)</f>
        <v>0.05</v>
      </c>
      <c r="D42" s="17" t="str">
        <f>VLOOKUP(B42,MCU!B:D,2,FALSE)</f>
        <v>41.62</v>
      </c>
      <c r="E42" s="6" t="str">
        <f>(VLOOKUP(B42,Amigo!B:E,2,FALSE))&amp;(VLOOKUP(B42,Amigo!B:E,3,FALSE))</f>
        <v>PG80530E01DATA805300E0</v>
      </c>
      <c r="F42" s="6" t="s">
        <v>21</v>
      </c>
      <c r="G42" s="6"/>
    </row>
    <row r="43" spans="2:7">
      <c r="B43" s="5">
        <v>45607</v>
      </c>
      <c r="C43" s="11">
        <f>VLOOKUP(B43,SOC!B:D,2,FALSE)</f>
        <v>5.0299999999999997E-2</v>
      </c>
      <c r="D43" s="17" t="str">
        <f>VLOOKUP(B43,MCU!B:D,2,FALSE)</f>
        <v>41.75</v>
      </c>
      <c r="E43" s="6" t="s">
        <v>22</v>
      </c>
      <c r="F43" s="6" t="s">
        <v>23</v>
      </c>
      <c r="G43" s="6" t="s">
        <v>15</v>
      </c>
    </row>
    <row r="44" spans="2:7">
      <c r="B44" s="5">
        <v>45621</v>
      </c>
      <c r="C44" s="11">
        <f>VLOOKUP(B44,SOC!B:D,2,FALSE)</f>
        <v>5.0500000000000003E-2</v>
      </c>
      <c r="D44" s="17" t="str">
        <f>VLOOKUP(B44,MCU!B:D,2,FALSE)</f>
        <v>41.90</v>
      </c>
      <c r="E44" s="5" t="str">
        <f>(VLOOKUP(B44,Amigo!B:E,2,FALSE))&amp;(VLOOKUP(B44,Amigo!B:E,3,FALSE))</f>
        <v>PG80530F01DATA805300F0</v>
      </c>
      <c r="F44" s="6" t="s">
        <v>24</v>
      </c>
      <c r="G44" s="6" t="s">
        <v>15</v>
      </c>
    </row>
    <row r="45" spans="2:7">
      <c r="B45" s="5">
        <v>45637</v>
      </c>
      <c r="C45" s="11">
        <f>VLOOKUP(B45,SOC!B:D,2,FALSE)</f>
        <v>5.0700000000000002E-2</v>
      </c>
      <c r="D45" s="17" t="str">
        <f>VLOOKUP(B45,MCU!B:D,2,FALSE)</f>
        <v>42.07</v>
      </c>
      <c r="E45" s="5" t="str">
        <f>(VLOOKUP(B45,Amigo!B:E,2,FALSE))&amp;(VLOOKUP(B45,Amigo!B:E,3,FALSE))</f>
        <v>PG80531001DATA80530100</v>
      </c>
      <c r="F45" s="6" t="s">
        <v>25</v>
      </c>
      <c r="G45" s="6" t="s">
        <v>15</v>
      </c>
    </row>
    <row r="46" spans="2:7">
      <c r="B46" s="5">
        <v>45660</v>
      </c>
      <c r="C46" s="11">
        <f>VLOOKUP(B46,SOC!B:D,2,FALSE)</f>
        <v>5.11E-2</v>
      </c>
      <c r="D46" s="17" t="str">
        <f>VLOOKUP(B46,MCU!B:D,2,FALSE)</f>
        <v>42.31</v>
      </c>
      <c r="E46" s="5" t="str">
        <f t="shared" ref="E46:E47" si="0">E45</f>
        <v>PG80531001DATA80530100</v>
      </c>
      <c r="F46" s="6"/>
      <c r="G46" s="6"/>
    </row>
    <row r="47" spans="2:7">
      <c r="B47" s="5">
        <v>45679</v>
      </c>
      <c r="C47" s="11">
        <f>VLOOKUP(B47,SOC!B:D,2,FALSE)</f>
        <v>5.1299999999999998E-2</v>
      </c>
      <c r="D47" s="17" t="str">
        <f>VLOOKUP(B47,MCU!B:D,2,FALSE)</f>
        <v>42.45</v>
      </c>
      <c r="E47" s="5" t="str">
        <f t="shared" si="0"/>
        <v>PG80531001DATA80530100</v>
      </c>
      <c r="F47" s="6"/>
      <c r="G47" s="6"/>
    </row>
    <row r="48" spans="2:7">
      <c r="B48" s="5">
        <v>45698</v>
      </c>
      <c r="C48" s="11">
        <f>VLOOKUP(B48,SOC!B:D,2,FALSE)</f>
        <v>5.16E-2</v>
      </c>
      <c r="D48" s="17" t="str">
        <f>VLOOKUP(B48,MCU!B:D,2,FALSE)</f>
        <v>42.66</v>
      </c>
      <c r="E48" s="6" t="s">
        <v>9</v>
      </c>
      <c r="F48" s="6" t="s">
        <v>26</v>
      </c>
      <c r="G48" s="6"/>
    </row>
    <row r="49" spans="2:7">
      <c r="B49" s="5">
        <v>45707</v>
      </c>
      <c r="C49" s="11">
        <f>VLOOKUP(B49,SOC!B:D,2,FALSE)</f>
        <v>5.1700000000000003E-2</v>
      </c>
      <c r="D49" s="17" t="str">
        <f>VLOOKUP(B49,MCU!B:D,2,FALSE)</f>
        <v>42.74</v>
      </c>
      <c r="E49" s="5" t="str">
        <f>E47</f>
        <v>PG80531001DATA80530100</v>
      </c>
      <c r="F49" s="6" t="s">
        <v>26</v>
      </c>
      <c r="G49" s="6"/>
    </row>
    <row r="50" spans="2:7">
      <c r="B50" s="5">
        <v>45719</v>
      </c>
      <c r="C50" s="11">
        <f>VLOOKUP(B50,SOC!B:D,2,FALSE)</f>
        <v>1</v>
      </c>
      <c r="D50" s="17" t="str">
        <f>VLOOKUP(B50,MCU!B:D,2,FALSE)</f>
        <v>50.00</v>
      </c>
      <c r="E50" s="5" t="str">
        <f>(VLOOKUP(B50,Amigo!B:E,2,FALSE))&amp;(VLOOKUP(B50,Amigo!B:E,3,FALSE))</f>
        <v>PG80531101DATA80530110</v>
      </c>
      <c r="F50" s="6" t="s">
        <v>27</v>
      </c>
      <c r="G50" s="6" t="s">
        <v>15</v>
      </c>
    </row>
    <row r="51" spans="2:7">
      <c r="B51" s="5">
        <v>45733</v>
      </c>
      <c r="C51" s="11">
        <f>VLOOKUP(B51,SOC!B:D,2,FALSE)</f>
        <v>1.0001</v>
      </c>
      <c r="D51" s="17" t="str">
        <f>VLOOKUP(B51,MCU!B:D,2,FALSE)</f>
        <v>50.01</v>
      </c>
      <c r="E51" s="5" t="str">
        <f>(VLOOKUP(B51,Amigo!B:E,2,FALSE))&amp;(VLOOKUP(B51,Amigo!B:E,3,FALSE))</f>
        <v>PG80531201DATA80530120</v>
      </c>
      <c r="F51" s="6"/>
      <c r="G51" s="6"/>
    </row>
    <row r="52" spans="2:7">
      <c r="B52" s="5">
        <v>45754</v>
      </c>
      <c r="C52" s="11">
        <f>VLOOKUP(B52,SOC!B:D,2,FALSE)</f>
        <v>1.0002</v>
      </c>
      <c r="D52" s="17" t="str">
        <f>VLOOKUP(B52,MCU!B:D,2,FALSE)</f>
        <v>50.01</v>
      </c>
      <c r="E52" s="5" t="str">
        <f t="shared" ref="E52:E55" si="1">E51</f>
        <v>PG80531201DATA80530120</v>
      </c>
      <c r="F52" s="6"/>
      <c r="G52" s="6"/>
    </row>
    <row r="53" spans="2:7">
      <c r="B53" s="5">
        <v>45761</v>
      </c>
      <c r="C53" s="11">
        <f>VLOOKUP(B53,SOC!B:D,2,FALSE)</f>
        <v>1.0003</v>
      </c>
      <c r="D53" s="17" t="str">
        <f>VLOOKUP(B53,MCU!B:D,2,FALSE)</f>
        <v>50.02</v>
      </c>
      <c r="E53" s="5" t="str">
        <f>(VLOOKUP(B53,Amigo!B:E,2,FALSE))&amp;(VLOOKUP(B53,Amigo!B:E,3,FALSE))</f>
        <v>PG80531301DATA80530130</v>
      </c>
      <c r="F53" s="6"/>
      <c r="G53" s="6"/>
    </row>
    <row r="54" spans="2:7">
      <c r="B54" s="5">
        <v>45777</v>
      </c>
      <c r="C54" s="11">
        <f>VLOOKUP(B54,SOC!B:D,2,FALSE)</f>
        <v>1.0004</v>
      </c>
      <c r="D54" s="17" t="str">
        <f>VLOOKUP(B54,MCU!B:D,2,FALSE)</f>
        <v>50.03</v>
      </c>
      <c r="E54" s="5" t="str">
        <f t="shared" si="1"/>
        <v>PG80531301DATA80530130</v>
      </c>
      <c r="F54" s="6"/>
      <c r="G54" s="6"/>
    </row>
    <row r="55" spans="2:7">
      <c r="B55" s="5">
        <v>45786</v>
      </c>
      <c r="C55" s="11">
        <f>VLOOKUP(B55,SOC!B:D,2,FALSE)</f>
        <v>1.0005999999999999</v>
      </c>
      <c r="D55" s="17" t="str">
        <f>VLOOKUP(B55,MCU!B:D,2,FALSE)</f>
        <v>50.03</v>
      </c>
      <c r="E55" s="5" t="str">
        <f t="shared" si="1"/>
        <v>PG80531301DATA80530130</v>
      </c>
      <c r="F55" s="6" t="s">
        <v>28</v>
      </c>
      <c r="G55" s="6" t="s">
        <v>15</v>
      </c>
    </row>
    <row r="56" spans="2:7">
      <c r="B56" s="5">
        <v>45797</v>
      </c>
      <c r="C56" s="11">
        <f>VLOOKUP(B56,SOC!B:D,2,FALSE)</f>
        <v>1.0005999999999999</v>
      </c>
      <c r="D56" s="17" t="str">
        <f>VLOOKUP(B56,MCU!B:D,2,FALSE)</f>
        <v>50.03</v>
      </c>
      <c r="E56" s="5" t="str">
        <f>(VLOOKUP(B56,Amigo!B:E,2,FALSE))&amp;(VLOOKUP(B56,Amigo!B:E,3,FALSE))</f>
        <v>PG80531401DATA80530140</v>
      </c>
      <c r="F56" s="6"/>
      <c r="G56" s="6" t="s">
        <v>15</v>
      </c>
    </row>
    <row r="57" spans="2:7">
      <c r="B57" s="5">
        <v>45803</v>
      </c>
      <c r="C57" s="11">
        <f>VLOOKUP(B57,SOC!B:D,2,FALSE)</f>
        <v>1.0007999999999999</v>
      </c>
      <c r="D57" s="17" t="str">
        <f>VLOOKUP(B57,MCU!B:D,2,FALSE)</f>
        <v>50.04</v>
      </c>
      <c r="E57" s="5" t="str">
        <f t="shared" ref="E57:E68" si="2">E56</f>
        <v>PG80531401DATA80530140</v>
      </c>
      <c r="F57" s="6"/>
      <c r="G57" s="6"/>
    </row>
    <row r="58" spans="2:7">
      <c r="B58" s="5">
        <v>45825</v>
      </c>
      <c r="C58" s="11">
        <f>VLOOKUP(B58,SOC!B:D,2,FALSE)</f>
        <v>1.0008999999999999</v>
      </c>
      <c r="D58" s="17" t="str">
        <f>VLOOKUP(B58,MCU!B:D,2,FALSE)</f>
        <v>50.05</v>
      </c>
      <c r="E58" s="5" t="str">
        <f t="shared" si="2"/>
        <v>PG80531401DATA80530140</v>
      </c>
      <c r="F58" s="6"/>
      <c r="G58" s="6"/>
    </row>
    <row r="59" spans="2:7">
      <c r="B59" s="5">
        <v>45826</v>
      </c>
      <c r="C59" s="11">
        <f>VLOOKUP(B59,SOC!B:D,2,FALSE)</f>
        <v>1.0009999999999999</v>
      </c>
      <c r="D59" s="17" t="str">
        <f>VLOOKUP(B59,MCU!B:D,2,FALSE)</f>
        <v>50.05</v>
      </c>
      <c r="E59" s="5" t="str">
        <f t="shared" si="2"/>
        <v>PG80531401DATA80530140</v>
      </c>
      <c r="F59" s="6" t="s">
        <v>29</v>
      </c>
      <c r="G59" s="6"/>
    </row>
    <row r="60" spans="2:7">
      <c r="B60" s="5">
        <v>45838</v>
      </c>
      <c r="C60" s="11">
        <f>VLOOKUP(B60,SOC!B:D,2,FALSE)</f>
        <v>1.0011000000000001</v>
      </c>
      <c r="D60" s="17" t="str">
        <f>VLOOKUP(B60,MCU!B:D,2,FALSE)</f>
        <v>50.05</v>
      </c>
      <c r="E60" s="5" t="str">
        <f t="shared" si="2"/>
        <v>PG80531401DATA80530140</v>
      </c>
      <c r="F60" s="6"/>
      <c r="G60" s="6"/>
    </row>
    <row r="61" spans="2:7">
      <c r="B61" s="5">
        <v>45854</v>
      </c>
      <c r="C61" s="11">
        <f>VLOOKUP(B61,SOC!B:D,2,FALSE)</f>
        <v>1.0012000000000001</v>
      </c>
      <c r="D61" s="17" t="str">
        <f>VLOOKUP(B61,MCU!B:D,2,FALSE)</f>
        <v>50.05</v>
      </c>
      <c r="E61" s="5" t="str">
        <f t="shared" si="2"/>
        <v>PG80531401DATA80530140</v>
      </c>
      <c r="F61" s="6"/>
      <c r="G61" s="6"/>
    </row>
    <row r="62" spans="2:7">
      <c r="B62" s="5">
        <v>45859</v>
      </c>
      <c r="C62" s="11">
        <f>VLOOKUP(B62,SOC!B:D,2,FALSE)</f>
        <v>1.0013000000000001</v>
      </c>
      <c r="D62" s="17" t="str">
        <f>VLOOKUP(B62,MCU!B:D,2,FALSE)</f>
        <v>50.05</v>
      </c>
      <c r="E62" s="5" t="str">
        <f t="shared" si="2"/>
        <v>PG80531401DATA80530140</v>
      </c>
      <c r="F62" s="6" t="s">
        <v>30</v>
      </c>
      <c r="G62" s="6" t="s">
        <v>15</v>
      </c>
    </row>
    <row r="63" spans="2:7">
      <c r="B63" s="5">
        <v>45884</v>
      </c>
      <c r="C63" s="11">
        <f>VLOOKUP(B63,SOC!B:D,2,FALSE)</f>
        <v>1.0014000000000001</v>
      </c>
      <c r="D63" s="17" t="str">
        <f>VLOOKUP(B63,MCU!B:D,2,FALSE)</f>
        <v>50.05</v>
      </c>
      <c r="E63" s="5" t="str">
        <f t="shared" si="2"/>
        <v>PG80531401DATA80530140</v>
      </c>
      <c r="F63" s="6" t="s">
        <v>31</v>
      </c>
      <c r="G63" s="6"/>
    </row>
    <row r="64" spans="2:7">
      <c r="B64" s="5">
        <v>45915</v>
      </c>
      <c r="C64" s="11">
        <f>VLOOKUP(B64,SOC!B:D,2,FALSE)</f>
        <v>1.0015000000000001</v>
      </c>
      <c r="D64" s="17" t="str">
        <f>VLOOKUP(B64,MCU!B:D,2,FALSE)</f>
        <v>50.05</v>
      </c>
      <c r="E64" s="5" t="str">
        <f t="shared" si="2"/>
        <v>PG80531401DATA80530140</v>
      </c>
      <c r="F64" s="6"/>
      <c r="G64" s="6"/>
    </row>
    <row r="65" spans="2:7">
      <c r="B65" s="5">
        <v>45944</v>
      </c>
      <c r="C65" s="11">
        <f>VLOOKUP(B65,SOC!B:D,2,FALSE)</f>
        <v>1.0016</v>
      </c>
      <c r="D65" s="17" t="str">
        <f>VLOOKUP(B65,MCU!B:D,2,FALSE)</f>
        <v>50.05</v>
      </c>
      <c r="E65" s="5" t="str">
        <f t="shared" si="2"/>
        <v>PG80531401DATA80530140</v>
      </c>
      <c r="F65" s="6"/>
      <c r="G65" s="6"/>
    </row>
    <row r="66" spans="2:7">
      <c r="B66" s="5">
        <v>45950</v>
      </c>
      <c r="C66" s="11">
        <f>VLOOKUP(B66,SOC!B:D,2,FALSE)</f>
        <v>1.0017</v>
      </c>
      <c r="D66" s="17" t="str">
        <f>VLOOKUP(B66,MCU!B:D,2,FALSE)</f>
        <v>50.05</v>
      </c>
      <c r="E66" s="5" t="str">
        <f t="shared" si="2"/>
        <v>PG80531401DATA80530140</v>
      </c>
      <c r="F66" s="6"/>
      <c r="G66" s="6"/>
    </row>
    <row r="67" spans="2:7">
      <c r="B67" s="5">
        <v>45981</v>
      </c>
      <c r="C67" s="11">
        <f>VLOOKUP(B67,SOC!B:D,2,FALSE)</f>
        <v>1.0018</v>
      </c>
      <c r="D67" s="17" t="str">
        <f>VLOOKUP(B67,MCU!B:D,2,FALSE)</f>
        <v>50.05</v>
      </c>
      <c r="E67" s="5" t="str">
        <f t="shared" si="2"/>
        <v>PG80531401DATA80530140</v>
      </c>
      <c r="F67" s="6" t="s">
        <v>32</v>
      </c>
      <c r="G67" s="6"/>
    </row>
    <row r="68" spans="2:7">
      <c r="B68" s="5">
        <v>46027</v>
      </c>
      <c r="C68" s="11">
        <f>VLOOKUP(B68,SOC!B:D,2,FALSE)</f>
        <v>1.002</v>
      </c>
      <c r="D68" s="17" t="str">
        <f>VLOOKUP(B68,MCU!B:D,2,FALSE)</f>
        <v>50.06</v>
      </c>
      <c r="E68" s="5" t="str">
        <f t="shared" si="2"/>
        <v>PG80531401DATA80530140</v>
      </c>
      <c r="F68" s="6"/>
      <c r="G68" s="6"/>
    </row>
    <row r="69" spans="2:7">
      <c r="B69" s="5">
        <v>46041</v>
      </c>
      <c r="C69" s="11">
        <f>VLOOKUP(B69,SOC!B:D,2,FALSE)</f>
        <v>1.0021</v>
      </c>
      <c r="D69" s="17" t="str">
        <f>VLOOKUP(B69,MCU!B:D,2,FALSE)</f>
        <v>50.06</v>
      </c>
      <c r="E69" s="5" t="s">
        <v>33</v>
      </c>
      <c r="F69" s="6"/>
      <c r="G69" s="6"/>
    </row>
    <row r="70" spans="2:7">
      <c r="B70" s="5">
        <v>46048</v>
      </c>
      <c r="C70" s="11">
        <f>VLOOKUP(B70,SOC!B:D,2,FALSE)</f>
        <v>1.0021</v>
      </c>
      <c r="D70" s="17" t="str">
        <f>VLOOKUP(B70,MCU!B:D,2,FALSE)</f>
        <v>50.06</v>
      </c>
      <c r="E70" s="6" t="str">
        <f>(VLOOKUP(B70,Amigo!B:E,2,FALSE))&amp;(VLOOKUP(B70,Amigo!B:E,3,FALSE))</f>
        <v>PG80531501DATA80530150</v>
      </c>
      <c r="F70" s="6" t="s">
        <v>34</v>
      </c>
      <c r="G70" s="6"/>
    </row>
    <row r="71" spans="2:7">
      <c r="B71" s="5">
        <v>46066</v>
      </c>
      <c r="C71" s="11">
        <f>VLOOKUP(B71,SOC!B:D,2,FALSE)</f>
        <v>1.0022</v>
      </c>
      <c r="D71" s="17" t="str">
        <f>VLOOKUP(B71,MCU!B:D,2,FALSE)</f>
        <v>50.06</v>
      </c>
      <c r="E71" s="6" t="str">
        <f>E70</f>
        <v>PG80531501DATA80530150</v>
      </c>
      <c r="F71" s="6"/>
      <c r="G71" s="6"/>
    </row>
    <row r="72" spans="2:7">
      <c r="B72" s="5">
        <v>46125</v>
      </c>
      <c r="C72" s="11">
        <f>VLOOKUP(B72,SOC!B:D,2,FALSE)</f>
        <v>1.0024</v>
      </c>
      <c r="D72" s="17" t="str">
        <f>VLOOKUP(B72,MCU!B:D,2,FALSE)</f>
        <v>50.06</v>
      </c>
      <c r="E72" s="6" t="str">
        <f>E71</f>
        <v>PG80531501DATA80530150</v>
      </c>
      <c r="F72" s="6"/>
      <c r="G72" s="6"/>
    </row>
    <row r="73" spans="2:7">
      <c r="B73" s="6"/>
      <c r="C73" s="11"/>
      <c r="D73" s="6"/>
      <c r="E73" s="6"/>
      <c r="F73" s="6"/>
      <c r="G73" s="6"/>
    </row>
    <row r="74" spans="2:7">
      <c r="B74" s="6"/>
      <c r="C74" s="11"/>
      <c r="D74" s="6"/>
      <c r="E74" s="6"/>
      <c r="F74" s="6"/>
      <c r="G74" s="6"/>
    </row>
    <row r="75" spans="2:7">
      <c r="B75" s="6"/>
      <c r="C75" s="11"/>
      <c r="D75" s="6"/>
      <c r="E75" s="6"/>
      <c r="F75" s="6"/>
      <c r="G75" s="6"/>
    </row>
    <row r="76" spans="2:7">
      <c r="B76" s="6"/>
      <c r="C76" s="11"/>
      <c r="D76" s="6"/>
      <c r="E76" s="6"/>
      <c r="F76" s="6"/>
      <c r="G76" s="6"/>
    </row>
    <row r="77" spans="2:7">
      <c r="B77" s="6"/>
      <c r="C77" s="11"/>
      <c r="D77" s="6"/>
      <c r="E77" s="6"/>
      <c r="F77" s="6"/>
      <c r="G77" s="6"/>
    </row>
    <row r="78" spans="2:7">
      <c r="B78" s="6"/>
      <c r="C78" s="11"/>
      <c r="D78" s="6"/>
      <c r="E78" s="6"/>
      <c r="F78" s="6"/>
      <c r="G78" s="6"/>
    </row>
    <row r="79" spans="2:7">
      <c r="B79" s="6"/>
      <c r="C79" s="11"/>
      <c r="D79" s="6"/>
      <c r="E79" s="6"/>
      <c r="F79" s="6"/>
      <c r="G79" s="6"/>
    </row>
    <row r="80" spans="2:7">
      <c r="B80" s="6"/>
      <c r="C80" s="11"/>
      <c r="D80" s="6"/>
      <c r="E80" s="6"/>
      <c r="F80" s="6"/>
      <c r="G80" s="6"/>
    </row>
    <row r="81" spans="2:7">
      <c r="B81" s="6"/>
      <c r="C81" s="11"/>
      <c r="D81" s="6"/>
      <c r="E81" s="6"/>
      <c r="F81" s="6"/>
      <c r="G81" s="6"/>
    </row>
    <row r="82" spans="2:7">
      <c r="B82" s="6"/>
      <c r="C82" s="11"/>
      <c r="D82" s="6"/>
      <c r="E82" s="6"/>
      <c r="F82" s="6"/>
      <c r="G82" s="6"/>
    </row>
    <row r="83" spans="2:7">
      <c r="B83" s="6"/>
      <c r="C83" s="11"/>
      <c r="D83" s="6"/>
      <c r="E83" s="6"/>
      <c r="F83" s="6"/>
      <c r="G83" s="6"/>
    </row>
    <row r="84" spans="2:7">
      <c r="B84" s="6"/>
      <c r="C84" s="11"/>
      <c r="D84" s="6"/>
      <c r="E84" s="6"/>
      <c r="F84" s="6"/>
      <c r="G84" s="6"/>
    </row>
    <row r="85" spans="2:7">
      <c r="B85" s="6"/>
      <c r="C85" s="11"/>
      <c r="D85" s="6"/>
      <c r="E85" s="6"/>
      <c r="F85" s="6"/>
      <c r="G85" s="6"/>
    </row>
    <row r="86" spans="2:7">
      <c r="B86" s="6"/>
      <c r="C86" s="11"/>
      <c r="D86" s="6"/>
      <c r="E86" s="6"/>
      <c r="F86" s="6"/>
      <c r="G86" s="6"/>
    </row>
    <row r="87" spans="2:7">
      <c r="B87" s="6"/>
      <c r="C87" s="11"/>
      <c r="D87" s="6"/>
      <c r="E87" s="6"/>
      <c r="F87" s="6"/>
      <c r="G87" s="6"/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91"/>
  <sheetViews>
    <sheetView topLeftCell="A45" workbookViewId="0">
      <selection activeCell="D68" sqref="B68:D68"/>
    </sheetView>
  </sheetViews>
  <sheetFormatPr defaultColWidth="9" defaultRowHeight="14.25"/>
  <cols>
    <col min="2" max="3" width="11" customWidth="1"/>
    <col min="4" max="4" width="29.75" customWidth="1"/>
  </cols>
  <sheetData>
    <row r="3" spans="2:4">
      <c r="B3" s="1" t="s">
        <v>0</v>
      </c>
      <c r="C3" s="1" t="s">
        <v>35</v>
      </c>
      <c r="D3" s="1" t="s">
        <v>36</v>
      </c>
    </row>
    <row r="4" spans="2:4">
      <c r="B4" s="5">
        <f>統合ソフト!B4</f>
        <v>45170</v>
      </c>
      <c r="C4" s="11">
        <v>1.1E-4</v>
      </c>
      <c r="D4" s="6" t="s">
        <v>37</v>
      </c>
    </row>
    <row r="5" spans="2:4">
      <c r="B5" s="5">
        <v>45225</v>
      </c>
      <c r="C5" s="11">
        <v>2.0410000000000001E-2</v>
      </c>
      <c r="D5" s="6" t="s">
        <v>38</v>
      </c>
    </row>
    <row r="6" spans="2:4">
      <c r="B6" s="5">
        <v>45229</v>
      </c>
      <c r="C6" s="11">
        <v>2.0459999999999999E-2</v>
      </c>
      <c r="D6" s="6" t="s">
        <v>39</v>
      </c>
    </row>
    <row r="7" spans="2:4">
      <c r="B7" s="5">
        <v>45231</v>
      </c>
      <c r="C7" s="11">
        <v>2.051E-2</v>
      </c>
      <c r="D7" s="6" t="s">
        <v>40</v>
      </c>
    </row>
    <row r="8" spans="2:4" ht="28.5">
      <c r="B8" s="5">
        <v>45244</v>
      </c>
      <c r="C8" s="11">
        <v>2.07E-2</v>
      </c>
      <c r="D8" s="7" t="s">
        <v>41</v>
      </c>
    </row>
    <row r="9" spans="2:4">
      <c r="B9" s="5">
        <v>45271</v>
      </c>
      <c r="C9" s="11">
        <v>3.0159999999999999E-2</v>
      </c>
      <c r="D9" s="6" t="s">
        <v>42</v>
      </c>
    </row>
    <row r="10" spans="2:4">
      <c r="B10" s="5">
        <v>45279</v>
      </c>
      <c r="C10" s="11">
        <v>3.0300000000000001E-2</v>
      </c>
      <c r="D10" s="6" t="s">
        <v>43</v>
      </c>
    </row>
    <row r="11" spans="2:4">
      <c r="B11" s="5">
        <v>45282</v>
      </c>
      <c r="C11" s="11">
        <v>3.0331E-2</v>
      </c>
      <c r="D11" s="6" t="s">
        <v>44</v>
      </c>
    </row>
    <row r="12" spans="2:4">
      <c r="B12" s="5">
        <v>45306</v>
      </c>
      <c r="C12" s="11">
        <v>3.066E-2</v>
      </c>
      <c r="D12" s="6" t="s">
        <v>45</v>
      </c>
    </row>
    <row r="13" spans="2:4">
      <c r="B13" s="5">
        <v>45348</v>
      </c>
      <c r="C13" s="11">
        <v>3.1260000000000003E-2</v>
      </c>
      <c r="D13" s="7" t="s">
        <v>46</v>
      </c>
    </row>
    <row r="14" spans="2:4" ht="28.5">
      <c r="B14" s="5">
        <v>45357</v>
      </c>
      <c r="C14" s="11">
        <v>3.1260999999999997E-2</v>
      </c>
      <c r="D14" s="7" t="s">
        <v>47</v>
      </c>
    </row>
    <row r="15" spans="2:4">
      <c r="B15" s="5">
        <v>45369</v>
      </c>
      <c r="C15" s="11">
        <v>3.1559999999999998E-2</v>
      </c>
      <c r="D15" s="6" t="s">
        <v>48</v>
      </c>
    </row>
    <row r="16" spans="2:4">
      <c r="B16" s="5">
        <v>45383</v>
      </c>
      <c r="C16" s="11">
        <v>3.1699999999999999E-2</v>
      </c>
      <c r="D16" s="6" t="s">
        <v>49</v>
      </c>
    </row>
    <row r="17" spans="2:4">
      <c r="B17" s="5">
        <v>45397</v>
      </c>
      <c r="C17" s="11">
        <v>3.1899999999999998E-2</v>
      </c>
      <c r="D17" s="6" t="s">
        <v>50</v>
      </c>
    </row>
    <row r="18" spans="2:4">
      <c r="B18" s="5">
        <v>45406</v>
      </c>
      <c r="C18" s="11">
        <v>3.2030000000000003E-2</v>
      </c>
      <c r="D18" s="6" t="s">
        <v>51</v>
      </c>
    </row>
    <row r="19" spans="2:4">
      <c r="B19" s="5">
        <v>45406</v>
      </c>
      <c r="C19" s="11">
        <v>3.2030999999999997E-2</v>
      </c>
      <c r="D19" s="6" t="s">
        <v>52</v>
      </c>
    </row>
    <row r="20" spans="2:4">
      <c r="B20" s="5">
        <v>45411</v>
      </c>
      <c r="C20" s="11">
        <v>3.2099999999999997E-2</v>
      </c>
      <c r="D20" s="6" t="s">
        <v>53</v>
      </c>
    </row>
    <row r="21" spans="2:4">
      <c r="B21" s="5">
        <v>45432</v>
      </c>
      <c r="C21" s="11">
        <v>0.04</v>
      </c>
      <c r="D21" s="6" t="s">
        <v>54</v>
      </c>
    </row>
    <row r="22" spans="2:4">
      <c r="B22" s="5">
        <v>45446</v>
      </c>
      <c r="C22" s="11">
        <v>4.02E-2</v>
      </c>
      <c r="D22" s="6" t="s">
        <v>55</v>
      </c>
    </row>
    <row r="23" spans="2:4">
      <c r="B23" s="5">
        <v>45460</v>
      </c>
      <c r="C23" s="11">
        <v>4.0399999999999998E-2</v>
      </c>
      <c r="D23" s="6" t="s">
        <v>56</v>
      </c>
    </row>
    <row r="24" spans="2:4">
      <c r="B24" s="5">
        <v>45474</v>
      </c>
      <c r="C24" s="11">
        <v>4.0599999999999997E-2</v>
      </c>
      <c r="D24" s="6" t="s">
        <v>57</v>
      </c>
    </row>
    <row r="25" spans="2:4">
      <c r="B25" s="5">
        <v>45488</v>
      </c>
      <c r="C25" s="11">
        <v>4.0800000000000003E-2</v>
      </c>
      <c r="D25" s="6" t="s">
        <v>58</v>
      </c>
    </row>
    <row r="26" spans="2:4">
      <c r="B26" s="5">
        <v>45492</v>
      </c>
      <c r="C26" s="11" t="s">
        <v>59</v>
      </c>
      <c r="D26" s="6"/>
    </row>
    <row r="27" spans="2:4">
      <c r="B27" s="5">
        <v>45502</v>
      </c>
      <c r="C27" s="11">
        <v>4.1000000000000002E-2</v>
      </c>
      <c r="D27" s="6" t="s">
        <v>60</v>
      </c>
    </row>
    <row r="28" spans="2:4">
      <c r="B28" s="5">
        <v>45510</v>
      </c>
      <c r="C28" s="11">
        <v>4.1099999999999998E-2</v>
      </c>
      <c r="D28" s="7" t="s">
        <v>61</v>
      </c>
    </row>
    <row r="29" spans="2:4">
      <c r="B29" s="5">
        <v>45523</v>
      </c>
      <c r="C29" s="11">
        <v>4.1300000000000003E-2</v>
      </c>
      <c r="D29" s="6" t="s">
        <v>62</v>
      </c>
    </row>
    <row r="30" spans="2:4">
      <c r="B30" s="5">
        <v>45534</v>
      </c>
      <c r="C30" s="11">
        <v>4.1099999999999998E-2</v>
      </c>
      <c r="D30" s="6" t="s">
        <v>63</v>
      </c>
    </row>
    <row r="31" spans="2:4">
      <c r="B31" s="5">
        <v>45537</v>
      </c>
      <c r="C31" s="11">
        <v>4.1500000000000002E-2</v>
      </c>
      <c r="D31" s="7" t="s">
        <v>64</v>
      </c>
    </row>
    <row r="32" spans="2:4">
      <c r="B32" s="5">
        <v>45553</v>
      </c>
      <c r="C32" s="11">
        <v>4.1700000000000001E-2</v>
      </c>
      <c r="D32" s="6" t="s">
        <v>65</v>
      </c>
    </row>
    <row r="33" spans="2:4">
      <c r="B33" s="6" t="s">
        <v>16</v>
      </c>
      <c r="C33" s="11">
        <v>4.1709999999999997E-2</v>
      </c>
      <c r="D33" s="6" t="s">
        <v>65</v>
      </c>
    </row>
    <row r="34" spans="2:4">
      <c r="B34" s="5">
        <v>45554</v>
      </c>
      <c r="C34" s="11">
        <v>4.1700000000000001E-2</v>
      </c>
      <c r="D34" s="7" t="s">
        <v>66</v>
      </c>
    </row>
    <row r="35" spans="2:4">
      <c r="B35" s="5">
        <v>45555</v>
      </c>
      <c r="C35" s="11">
        <v>4.1099999999999998E-2</v>
      </c>
      <c r="D35" s="6" t="s">
        <v>67</v>
      </c>
    </row>
    <row r="36" spans="2:4">
      <c r="B36" s="5">
        <v>45564</v>
      </c>
      <c r="C36" s="11">
        <v>4.19E-2</v>
      </c>
      <c r="D36" s="7" t="s">
        <v>68</v>
      </c>
    </row>
    <row r="37" spans="2:4">
      <c r="B37" s="5">
        <v>45579</v>
      </c>
      <c r="C37" s="11">
        <v>4.2099999999999999E-2</v>
      </c>
      <c r="D37" s="6" t="s">
        <v>69</v>
      </c>
    </row>
    <row r="38" spans="2:4">
      <c r="B38" s="5">
        <v>45593</v>
      </c>
      <c r="C38" s="11">
        <v>0.05</v>
      </c>
      <c r="D38" s="6" t="s">
        <v>70</v>
      </c>
    </row>
    <row r="39" spans="2:4">
      <c r="B39" s="5">
        <v>45607</v>
      </c>
      <c r="C39" s="11">
        <v>5.0299999999999997E-2</v>
      </c>
      <c r="D39" s="6" t="s">
        <v>71</v>
      </c>
    </row>
    <row r="40" spans="2:4">
      <c r="B40" s="5">
        <v>45621</v>
      </c>
      <c r="C40" s="11">
        <v>5.0500000000000003E-2</v>
      </c>
      <c r="D40" s="6" t="s">
        <v>72</v>
      </c>
    </row>
    <row r="41" spans="2:4">
      <c r="B41" s="5">
        <v>45637</v>
      </c>
      <c r="C41" s="11">
        <v>5.0700000000000002E-2</v>
      </c>
      <c r="D41" s="6" t="s">
        <v>73</v>
      </c>
    </row>
    <row r="42" spans="2:4">
      <c r="B42" s="5">
        <v>45660</v>
      </c>
      <c r="C42" s="11">
        <v>5.11E-2</v>
      </c>
      <c r="D42" s="6" t="s">
        <v>74</v>
      </c>
    </row>
    <row r="43" spans="2:4">
      <c r="B43" s="5">
        <v>45679</v>
      </c>
      <c r="C43" s="11">
        <v>5.1299999999999998E-2</v>
      </c>
      <c r="D43" s="6" t="s">
        <v>75</v>
      </c>
    </row>
    <row r="44" spans="2:4">
      <c r="B44" s="5">
        <v>45698</v>
      </c>
      <c r="C44" s="11">
        <v>5.16E-2</v>
      </c>
      <c r="D44" s="6" t="s">
        <v>76</v>
      </c>
    </row>
    <row r="45" spans="2:4">
      <c r="B45" s="5">
        <v>45707</v>
      </c>
      <c r="C45" s="11">
        <v>5.1700000000000003E-2</v>
      </c>
      <c r="D45" s="6" t="s">
        <v>77</v>
      </c>
    </row>
    <row r="46" spans="2:4">
      <c r="B46" s="5">
        <v>45719</v>
      </c>
      <c r="C46" s="11">
        <v>1</v>
      </c>
      <c r="D46" s="6" t="s">
        <v>78</v>
      </c>
    </row>
    <row r="47" spans="2:4">
      <c r="B47" s="5">
        <v>45733</v>
      </c>
      <c r="C47" s="11">
        <v>1.0001</v>
      </c>
      <c r="D47" s="6" t="s">
        <v>79</v>
      </c>
    </row>
    <row r="48" spans="2:4">
      <c r="B48" s="5">
        <v>45754</v>
      </c>
      <c r="C48" s="11">
        <v>1.0002</v>
      </c>
      <c r="D48" s="6" t="s">
        <v>80</v>
      </c>
    </row>
    <row r="49" spans="2:4">
      <c r="B49" s="5">
        <v>45761</v>
      </c>
      <c r="C49" s="11">
        <v>1.0003</v>
      </c>
      <c r="D49" s="6" t="s">
        <v>81</v>
      </c>
    </row>
    <row r="50" spans="2:4">
      <c r="B50" s="5">
        <v>45777</v>
      </c>
      <c r="C50" s="11">
        <v>1.0004</v>
      </c>
      <c r="D50" s="6" t="s">
        <v>82</v>
      </c>
    </row>
    <row r="51" spans="2:4">
      <c r="B51" s="5">
        <v>45786</v>
      </c>
      <c r="C51" s="11">
        <v>1.0005999999999999</v>
      </c>
      <c r="D51" s="6" t="s">
        <v>83</v>
      </c>
    </row>
    <row r="52" spans="2:4">
      <c r="B52" s="5">
        <v>45797</v>
      </c>
      <c r="C52" s="11">
        <v>1.0005999999999999</v>
      </c>
      <c r="D52" s="6" t="s">
        <v>84</v>
      </c>
    </row>
    <row r="53" spans="2:4">
      <c r="B53" s="5">
        <v>45803</v>
      </c>
      <c r="C53" s="11">
        <v>1.0007999999999999</v>
      </c>
      <c r="D53" s="6" t="s">
        <v>85</v>
      </c>
    </row>
    <row r="54" spans="2:4">
      <c r="B54" s="5">
        <v>45825</v>
      </c>
      <c r="C54" s="11">
        <v>1.0008999999999999</v>
      </c>
      <c r="D54" s="6" t="s">
        <v>86</v>
      </c>
    </row>
    <row r="55" spans="2:4">
      <c r="B55" s="5">
        <v>45826</v>
      </c>
      <c r="C55" s="11">
        <v>1.0009999999999999</v>
      </c>
      <c r="D55" s="6" t="s">
        <v>86</v>
      </c>
    </row>
    <row r="56" spans="2:4">
      <c r="B56" s="5">
        <v>45838</v>
      </c>
      <c r="C56" s="11">
        <v>1.0011000000000001</v>
      </c>
      <c r="D56" s="6" t="s">
        <v>87</v>
      </c>
    </row>
    <row r="57" spans="2:4">
      <c r="B57" s="5">
        <v>45854</v>
      </c>
      <c r="C57" s="11">
        <v>1.0012000000000001</v>
      </c>
      <c r="D57" s="6" t="s">
        <v>88</v>
      </c>
    </row>
    <row r="58" spans="2:4">
      <c r="B58" s="5">
        <v>45859</v>
      </c>
      <c r="C58" s="11">
        <v>1.0013000000000001</v>
      </c>
      <c r="D58" s="6" t="s">
        <v>88</v>
      </c>
    </row>
    <row r="59" spans="2:4">
      <c r="B59" s="5">
        <v>45884</v>
      </c>
      <c r="C59" s="11">
        <v>1.0014000000000001</v>
      </c>
      <c r="D59" s="6" t="s">
        <v>89</v>
      </c>
    </row>
    <row r="60" spans="2:4">
      <c r="B60" s="5">
        <v>45915</v>
      </c>
      <c r="C60" s="11">
        <v>1.0015000000000001</v>
      </c>
      <c r="D60" s="6" t="s">
        <v>90</v>
      </c>
    </row>
    <row r="61" spans="2:4">
      <c r="B61" s="5">
        <v>45944</v>
      </c>
      <c r="C61" s="11">
        <v>1.0016</v>
      </c>
      <c r="D61" s="6" t="s">
        <v>91</v>
      </c>
    </row>
    <row r="62" spans="2:4">
      <c r="B62" s="5">
        <v>45950</v>
      </c>
      <c r="C62" s="11">
        <v>1.0017</v>
      </c>
      <c r="D62" s="6" t="s">
        <v>92</v>
      </c>
    </row>
    <row r="63" spans="2:4">
      <c r="B63" s="5">
        <v>45981</v>
      </c>
      <c r="C63" s="11">
        <v>1.0018</v>
      </c>
      <c r="D63" s="6" t="s">
        <v>93</v>
      </c>
    </row>
    <row r="64" spans="2:4">
      <c r="B64" s="5">
        <v>46027</v>
      </c>
      <c r="C64" s="11">
        <v>1.002</v>
      </c>
      <c r="D64" s="6" t="s">
        <v>94</v>
      </c>
    </row>
    <row r="65" spans="2:4">
      <c r="B65" s="5">
        <v>46041</v>
      </c>
      <c r="C65" s="11">
        <v>1.0021</v>
      </c>
      <c r="D65" s="6" t="s">
        <v>95</v>
      </c>
    </row>
    <row r="66" spans="2:4">
      <c r="B66" s="5">
        <v>46048</v>
      </c>
      <c r="C66" s="11">
        <v>1.0021</v>
      </c>
      <c r="D66" s="6" t="s">
        <v>96</v>
      </c>
    </row>
    <row r="67" spans="2:4">
      <c r="B67" s="5">
        <v>46066</v>
      </c>
      <c r="C67" s="11">
        <v>1.0022</v>
      </c>
      <c r="D67" s="6" t="s">
        <v>97</v>
      </c>
    </row>
    <row r="68" spans="2:4">
      <c r="B68" s="5">
        <v>46125</v>
      </c>
      <c r="C68" s="11">
        <v>1.0024</v>
      </c>
      <c r="D68" s="6" t="s">
        <v>98</v>
      </c>
    </row>
    <row r="69" spans="2:4">
      <c r="B69" s="6"/>
      <c r="C69" s="11"/>
      <c r="D69" s="6"/>
    </row>
    <row r="70" spans="2:4">
      <c r="B70" s="6"/>
      <c r="C70" s="11"/>
      <c r="D70" s="6"/>
    </row>
    <row r="71" spans="2:4">
      <c r="B71" s="6"/>
      <c r="C71" s="11"/>
      <c r="D71" s="6"/>
    </row>
    <row r="72" spans="2:4">
      <c r="B72" s="6"/>
      <c r="C72" s="11"/>
      <c r="D72" s="6"/>
    </row>
    <row r="73" spans="2:4">
      <c r="B73" s="6"/>
      <c r="C73" s="11"/>
      <c r="D73" s="6"/>
    </row>
    <row r="74" spans="2:4">
      <c r="B74" s="6"/>
      <c r="C74" s="11"/>
      <c r="D74" s="6"/>
    </row>
    <row r="75" spans="2:4">
      <c r="B75" s="6"/>
      <c r="C75" s="11"/>
      <c r="D75" s="6"/>
    </row>
    <row r="76" spans="2:4">
      <c r="B76" s="6"/>
      <c r="C76" s="11"/>
      <c r="D76" s="6"/>
    </row>
    <row r="77" spans="2:4">
      <c r="B77" s="6"/>
      <c r="C77" s="11"/>
      <c r="D77" s="6"/>
    </row>
    <row r="78" spans="2:4">
      <c r="B78" s="6"/>
      <c r="C78" s="11"/>
      <c r="D78" s="6"/>
    </row>
    <row r="79" spans="2:4">
      <c r="B79" s="6"/>
      <c r="C79" s="11"/>
      <c r="D79" s="6"/>
    </row>
    <row r="80" spans="2:4">
      <c r="B80" s="6"/>
      <c r="C80" s="11"/>
      <c r="D80" s="6"/>
    </row>
    <row r="81" spans="2:4">
      <c r="B81" s="6"/>
      <c r="C81" s="11"/>
      <c r="D81" s="6"/>
    </row>
    <row r="82" spans="2:4">
      <c r="B82" s="6"/>
      <c r="C82" s="11"/>
      <c r="D82" s="6"/>
    </row>
    <row r="83" spans="2:4">
      <c r="B83" s="6"/>
      <c r="C83" s="11"/>
      <c r="D83" s="6"/>
    </row>
    <row r="84" spans="2:4">
      <c r="B84" s="6"/>
      <c r="C84" s="11"/>
      <c r="D84" s="6"/>
    </row>
    <row r="85" spans="2:4">
      <c r="B85" s="6"/>
      <c r="C85" s="11"/>
      <c r="D85" s="6"/>
    </row>
    <row r="86" spans="2:4">
      <c r="B86" s="6"/>
      <c r="C86" s="11"/>
      <c r="D86" s="6"/>
    </row>
    <row r="87" spans="2:4">
      <c r="B87" s="6"/>
      <c r="C87" s="11"/>
      <c r="D87" s="6"/>
    </row>
    <row r="88" spans="2:4">
      <c r="B88" s="6"/>
      <c r="C88" s="11"/>
      <c r="D88" s="6"/>
    </row>
    <row r="89" spans="2:4">
      <c r="B89" s="6"/>
      <c r="C89" s="11"/>
      <c r="D89" s="6"/>
    </row>
    <row r="90" spans="2:4">
      <c r="B90" s="6"/>
      <c r="C90" s="11"/>
      <c r="D90" s="6"/>
    </row>
    <row r="91" spans="2:4">
      <c r="B91" s="6"/>
      <c r="C91" s="11"/>
      <c r="D91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91"/>
  <sheetViews>
    <sheetView topLeftCell="A44" workbookViewId="0">
      <selection activeCell="D78" sqref="D78"/>
    </sheetView>
  </sheetViews>
  <sheetFormatPr defaultColWidth="9" defaultRowHeight="14.25"/>
  <cols>
    <col min="2" max="3" width="11" customWidth="1"/>
    <col min="4" max="4" width="27" customWidth="1"/>
  </cols>
  <sheetData>
    <row r="3" spans="2:4">
      <c r="B3" s="1" t="s">
        <v>0</v>
      </c>
      <c r="C3" s="1" t="s">
        <v>35</v>
      </c>
      <c r="D3" s="1" t="s">
        <v>36</v>
      </c>
    </row>
    <row r="4" spans="2:4">
      <c r="B4" s="5">
        <f>統合ソフト!B4</f>
        <v>45170</v>
      </c>
      <c r="C4" s="18" t="s">
        <v>99</v>
      </c>
      <c r="D4" s="6" t="s">
        <v>37</v>
      </c>
    </row>
    <row r="5" spans="2:4" ht="57">
      <c r="B5" s="5">
        <v>45230</v>
      </c>
      <c r="C5" s="17" t="s">
        <v>100</v>
      </c>
      <c r="D5" s="7" t="s">
        <v>101</v>
      </c>
    </row>
    <row r="6" spans="2:4">
      <c r="B6" s="5">
        <v>45236</v>
      </c>
      <c r="C6" s="18" t="s">
        <v>99</v>
      </c>
      <c r="D6" s="6" t="s">
        <v>102</v>
      </c>
    </row>
    <row r="7" spans="2:4" ht="28.5">
      <c r="B7" s="5">
        <v>45244</v>
      </c>
      <c r="C7" s="17" t="s">
        <v>103</v>
      </c>
      <c r="D7" s="7" t="s">
        <v>41</v>
      </c>
    </row>
    <row r="8" spans="2:4">
      <c r="B8" s="5">
        <v>45250</v>
      </c>
      <c r="C8" s="17" t="s">
        <v>104</v>
      </c>
      <c r="D8" s="6" t="s">
        <v>105</v>
      </c>
    </row>
    <row r="9" spans="2:4" ht="28.5">
      <c r="B9" s="5">
        <v>45264</v>
      </c>
      <c r="C9" s="17" t="s">
        <v>106</v>
      </c>
      <c r="D9" s="7" t="s">
        <v>107</v>
      </c>
    </row>
    <row r="10" spans="2:4">
      <c r="B10" s="5">
        <v>45271</v>
      </c>
      <c r="C10" s="17" t="s">
        <v>108</v>
      </c>
      <c r="D10" s="6" t="s">
        <v>42</v>
      </c>
    </row>
    <row r="11" spans="2:4">
      <c r="B11" s="5">
        <v>45279</v>
      </c>
      <c r="C11" s="17" t="s">
        <v>109</v>
      </c>
      <c r="D11" s="6" t="s">
        <v>110</v>
      </c>
    </row>
    <row r="12" spans="2:4">
      <c r="B12" s="5">
        <v>45306</v>
      </c>
      <c r="C12" s="17" t="s">
        <v>111</v>
      </c>
      <c r="D12" s="6" t="s">
        <v>45</v>
      </c>
    </row>
    <row r="13" spans="2:4">
      <c r="B13" s="5">
        <v>45348</v>
      </c>
      <c r="C13" s="17" t="s">
        <v>112</v>
      </c>
      <c r="D13" s="7" t="s">
        <v>46</v>
      </c>
    </row>
    <row r="14" spans="2:4">
      <c r="B14" s="5">
        <v>45369</v>
      </c>
      <c r="C14" s="17" t="s">
        <v>113</v>
      </c>
      <c r="D14" s="6" t="s">
        <v>48</v>
      </c>
    </row>
    <row r="15" spans="2:4">
      <c r="B15" s="5">
        <v>45383</v>
      </c>
      <c r="C15" s="17" t="s">
        <v>114</v>
      </c>
      <c r="D15" s="6" t="s">
        <v>49</v>
      </c>
    </row>
    <row r="16" spans="2:4">
      <c r="B16" s="5">
        <v>45397</v>
      </c>
      <c r="C16" s="17" t="s">
        <v>115</v>
      </c>
      <c r="D16" s="6" t="s">
        <v>50</v>
      </c>
    </row>
    <row r="17" spans="2:4">
      <c r="B17" s="5">
        <v>45407</v>
      </c>
      <c r="C17" s="17" t="s">
        <v>116</v>
      </c>
      <c r="D17" s="6" t="s">
        <v>117</v>
      </c>
    </row>
    <row r="18" spans="2:4">
      <c r="B18" s="5">
        <v>45411</v>
      </c>
      <c r="C18" s="17" t="s">
        <v>118</v>
      </c>
      <c r="D18" s="6" t="s">
        <v>53</v>
      </c>
    </row>
    <row r="19" spans="2:4">
      <c r="B19" s="5">
        <v>45432</v>
      </c>
      <c r="C19" s="17" t="s">
        <v>119</v>
      </c>
      <c r="D19" s="6" t="s">
        <v>54</v>
      </c>
    </row>
    <row r="20" spans="2:4">
      <c r="B20" s="5">
        <v>45446</v>
      </c>
      <c r="C20" s="17" t="s">
        <v>120</v>
      </c>
      <c r="D20" s="6" t="s">
        <v>55</v>
      </c>
    </row>
    <row r="21" spans="2:4">
      <c r="B21" s="5">
        <v>45460</v>
      </c>
      <c r="C21" s="17" t="s">
        <v>121</v>
      </c>
      <c r="D21" s="6" t="s">
        <v>56</v>
      </c>
    </row>
    <row r="22" spans="2:4">
      <c r="B22" s="5">
        <v>45474</v>
      </c>
      <c r="C22" s="17" t="s">
        <v>122</v>
      </c>
      <c r="D22" s="6" t="s">
        <v>57</v>
      </c>
    </row>
    <row r="23" spans="2:4">
      <c r="B23" s="5">
        <v>45488</v>
      </c>
      <c r="C23" s="17" t="s">
        <v>123</v>
      </c>
      <c r="D23" s="6" t="s">
        <v>124</v>
      </c>
    </row>
    <row r="24" spans="2:4">
      <c r="B24" s="5">
        <v>45492</v>
      </c>
      <c r="C24" s="6" t="s">
        <v>59</v>
      </c>
      <c r="D24" s="6"/>
    </row>
    <row r="25" spans="2:4">
      <c r="B25" s="5">
        <v>45502</v>
      </c>
      <c r="C25" s="17" t="s">
        <v>125</v>
      </c>
      <c r="D25" s="6" t="s">
        <v>60</v>
      </c>
    </row>
    <row r="26" spans="2:4">
      <c r="B26" s="5">
        <v>45510</v>
      </c>
      <c r="C26" s="6" t="s">
        <v>59</v>
      </c>
      <c r="D26" s="6"/>
    </row>
    <row r="27" spans="2:4" ht="28.5">
      <c r="B27" s="5">
        <v>45523</v>
      </c>
      <c r="C27" s="17" t="s">
        <v>126</v>
      </c>
      <c r="D27" s="7" t="s">
        <v>127</v>
      </c>
    </row>
    <row r="28" spans="2:4">
      <c r="B28" s="5">
        <v>45534</v>
      </c>
      <c r="C28" s="17" t="s">
        <v>128</v>
      </c>
      <c r="D28" s="6" t="s">
        <v>63</v>
      </c>
    </row>
    <row r="29" spans="2:4">
      <c r="B29" s="5">
        <v>45537</v>
      </c>
      <c r="C29" s="17" t="s">
        <v>129</v>
      </c>
      <c r="D29" s="7" t="s">
        <v>64</v>
      </c>
    </row>
    <row r="30" spans="2:4">
      <c r="B30" s="5">
        <v>45553</v>
      </c>
      <c r="C30" s="17" t="s">
        <v>130</v>
      </c>
      <c r="D30" s="6" t="s">
        <v>65</v>
      </c>
    </row>
    <row r="31" spans="2:4">
      <c r="B31" s="6" t="s">
        <v>16</v>
      </c>
      <c r="C31" s="17" t="s">
        <v>130</v>
      </c>
      <c r="D31" s="6" t="s">
        <v>65</v>
      </c>
    </row>
    <row r="32" spans="2:4">
      <c r="B32" s="5">
        <v>45554</v>
      </c>
      <c r="C32" s="17" t="s">
        <v>131</v>
      </c>
      <c r="D32" s="7" t="s">
        <v>66</v>
      </c>
    </row>
    <row r="33" spans="2:4">
      <c r="B33" s="5">
        <v>45555</v>
      </c>
      <c r="C33" s="17" t="s">
        <v>132</v>
      </c>
      <c r="D33" s="6" t="s">
        <v>67</v>
      </c>
    </row>
    <row r="34" spans="2:4">
      <c r="B34" s="5">
        <v>45564</v>
      </c>
      <c r="C34" s="17" t="s">
        <v>133</v>
      </c>
      <c r="D34" s="7" t="s">
        <v>68</v>
      </c>
    </row>
    <row r="35" spans="2:4">
      <c r="B35" s="5">
        <v>45579</v>
      </c>
      <c r="C35" s="17" t="s">
        <v>134</v>
      </c>
      <c r="D35" s="6" t="s">
        <v>69</v>
      </c>
    </row>
    <row r="36" spans="2:4">
      <c r="B36" s="5">
        <v>45593</v>
      </c>
      <c r="C36" s="17" t="s">
        <v>135</v>
      </c>
      <c r="D36" s="6" t="s">
        <v>70</v>
      </c>
    </row>
    <row r="37" spans="2:4">
      <c r="B37" s="5">
        <v>45607</v>
      </c>
      <c r="C37" s="17" t="s">
        <v>136</v>
      </c>
      <c r="D37" s="6" t="s">
        <v>71</v>
      </c>
    </row>
    <row r="38" spans="2:4">
      <c r="B38" s="5">
        <v>45621</v>
      </c>
      <c r="C38" s="17" t="s">
        <v>137</v>
      </c>
      <c r="D38" s="6" t="s">
        <v>72</v>
      </c>
    </row>
    <row r="39" spans="2:4">
      <c r="B39" s="5">
        <v>45637</v>
      </c>
      <c r="C39" s="17" t="s">
        <v>138</v>
      </c>
      <c r="D39" s="6" t="s">
        <v>73</v>
      </c>
    </row>
    <row r="40" spans="2:4">
      <c r="B40" s="5">
        <v>45660</v>
      </c>
      <c r="C40" s="17" t="s">
        <v>139</v>
      </c>
      <c r="D40" s="6" t="s">
        <v>74</v>
      </c>
    </row>
    <row r="41" spans="2:4">
      <c r="B41" s="5">
        <v>45679</v>
      </c>
      <c r="C41" s="17" t="s">
        <v>140</v>
      </c>
      <c r="D41" s="6" t="s">
        <v>75</v>
      </c>
    </row>
    <row r="42" spans="2:4">
      <c r="B42" s="5">
        <v>45698</v>
      </c>
      <c r="C42" s="17" t="s">
        <v>141</v>
      </c>
      <c r="D42" s="6" t="s">
        <v>76</v>
      </c>
    </row>
    <row r="43" spans="2:4">
      <c r="B43" s="5">
        <v>45707</v>
      </c>
      <c r="C43" s="17" t="s">
        <v>142</v>
      </c>
      <c r="D43" s="6" t="s">
        <v>77</v>
      </c>
    </row>
    <row r="44" spans="2:4">
      <c r="B44" s="5">
        <v>45719</v>
      </c>
      <c r="C44" s="17" t="s">
        <v>143</v>
      </c>
      <c r="D44" s="6" t="s">
        <v>78</v>
      </c>
    </row>
    <row r="45" spans="2:4">
      <c r="B45" s="5">
        <v>45733</v>
      </c>
      <c r="C45" s="17" t="s">
        <v>144</v>
      </c>
      <c r="D45" s="6" t="s">
        <v>79</v>
      </c>
    </row>
    <row r="46" spans="2:4">
      <c r="B46" s="5">
        <v>45754</v>
      </c>
      <c r="C46" s="17" t="s">
        <v>144</v>
      </c>
      <c r="D46" s="6" t="s">
        <v>80</v>
      </c>
    </row>
    <row r="47" spans="2:4">
      <c r="B47" s="5">
        <v>45761</v>
      </c>
      <c r="C47" s="17" t="s">
        <v>145</v>
      </c>
      <c r="D47" s="6" t="s">
        <v>81</v>
      </c>
    </row>
    <row r="48" spans="2:4">
      <c r="B48" s="5">
        <v>45777</v>
      </c>
      <c r="C48" s="17" t="s">
        <v>146</v>
      </c>
      <c r="D48" s="6" t="s">
        <v>82</v>
      </c>
    </row>
    <row r="49" spans="2:4">
      <c r="B49" s="5">
        <v>45786</v>
      </c>
      <c r="C49" s="17" t="s">
        <v>146</v>
      </c>
      <c r="D49" s="6" t="s">
        <v>83</v>
      </c>
    </row>
    <row r="50" spans="2:4">
      <c r="B50" s="5">
        <v>45797</v>
      </c>
      <c r="C50" s="17" t="s">
        <v>146</v>
      </c>
      <c r="D50" s="6" t="s">
        <v>84</v>
      </c>
    </row>
    <row r="51" spans="2:4">
      <c r="B51" s="5">
        <v>45803</v>
      </c>
      <c r="C51" s="17" t="s">
        <v>147</v>
      </c>
      <c r="D51" s="6" t="s">
        <v>85</v>
      </c>
    </row>
    <row r="52" spans="2:4">
      <c r="B52" s="5">
        <v>45825</v>
      </c>
      <c r="C52" s="17" t="s">
        <v>148</v>
      </c>
      <c r="D52" s="6" t="s">
        <v>86</v>
      </c>
    </row>
    <row r="53" spans="2:4">
      <c r="B53" s="5">
        <v>45826</v>
      </c>
      <c r="C53" s="17" t="s">
        <v>148</v>
      </c>
      <c r="D53" s="6" t="s">
        <v>86</v>
      </c>
    </row>
    <row r="54" spans="2:4">
      <c r="B54" s="5">
        <v>45838</v>
      </c>
      <c r="C54" s="17" t="s">
        <v>148</v>
      </c>
      <c r="D54" s="6" t="s">
        <v>87</v>
      </c>
    </row>
    <row r="55" spans="2:4">
      <c r="B55" s="5">
        <v>45854</v>
      </c>
      <c r="C55" s="17" t="s">
        <v>148</v>
      </c>
      <c r="D55" s="6" t="s">
        <v>88</v>
      </c>
    </row>
    <row r="56" spans="2:4">
      <c r="B56" s="5">
        <v>45859</v>
      </c>
      <c r="C56" s="17" t="s">
        <v>148</v>
      </c>
      <c r="D56" s="6" t="s">
        <v>88</v>
      </c>
    </row>
    <row r="57" spans="2:4">
      <c r="B57" s="5">
        <v>45884</v>
      </c>
      <c r="C57" s="17" t="s">
        <v>148</v>
      </c>
      <c r="D57" s="6" t="s">
        <v>89</v>
      </c>
    </row>
    <row r="58" spans="2:4">
      <c r="B58" s="5">
        <v>45915</v>
      </c>
      <c r="C58" s="17" t="s">
        <v>148</v>
      </c>
      <c r="D58" s="6" t="s">
        <v>90</v>
      </c>
    </row>
    <row r="59" spans="2:4">
      <c r="B59" s="5">
        <v>45944</v>
      </c>
      <c r="C59" s="17" t="s">
        <v>148</v>
      </c>
      <c r="D59" s="6" t="s">
        <v>91</v>
      </c>
    </row>
    <row r="60" spans="2:4">
      <c r="B60" s="5">
        <v>45950</v>
      </c>
      <c r="C60" s="17" t="s">
        <v>148</v>
      </c>
      <c r="D60" s="6" t="s">
        <v>92</v>
      </c>
    </row>
    <row r="61" spans="2:4">
      <c r="B61" s="5">
        <v>45981</v>
      </c>
      <c r="C61" s="17" t="s">
        <v>148</v>
      </c>
      <c r="D61" s="6" t="s">
        <v>93</v>
      </c>
    </row>
    <row r="62" spans="2:4">
      <c r="B62" s="5">
        <v>46027</v>
      </c>
      <c r="C62" s="17" t="s">
        <v>149</v>
      </c>
      <c r="D62" s="6" t="s">
        <v>94</v>
      </c>
    </row>
    <row r="63" spans="2:4">
      <c r="B63" s="5">
        <v>46041</v>
      </c>
      <c r="C63" s="17" t="s">
        <v>149</v>
      </c>
      <c r="D63" s="6" t="s">
        <v>95</v>
      </c>
    </row>
    <row r="64" spans="2:4">
      <c r="B64" s="5">
        <v>46048</v>
      </c>
      <c r="C64" s="17" t="s">
        <v>149</v>
      </c>
      <c r="D64" s="6" t="s">
        <v>96</v>
      </c>
    </row>
    <row r="65" spans="2:4">
      <c r="B65" s="5">
        <v>46066</v>
      </c>
      <c r="C65" s="17" t="s">
        <v>149</v>
      </c>
      <c r="D65" s="6" t="s">
        <v>97</v>
      </c>
    </row>
    <row r="66" spans="2:4">
      <c r="B66" s="5">
        <v>46125</v>
      </c>
      <c r="C66" s="17" t="s">
        <v>149</v>
      </c>
      <c r="D66" s="6" t="s">
        <v>98</v>
      </c>
    </row>
    <row r="67" spans="2:4">
      <c r="B67" s="6"/>
      <c r="C67" s="6"/>
      <c r="D67" s="6"/>
    </row>
    <row r="68" spans="2:4">
      <c r="B68" s="6"/>
      <c r="C68" s="6"/>
      <c r="D68" s="6"/>
    </row>
    <row r="69" spans="2:4">
      <c r="B69" s="6"/>
      <c r="C69" s="6"/>
      <c r="D69" s="6"/>
    </row>
    <row r="70" spans="2:4">
      <c r="B70" s="6"/>
      <c r="C70" s="6"/>
      <c r="D70" s="6"/>
    </row>
    <row r="71" spans="2:4">
      <c r="B71" s="6"/>
      <c r="C71" s="6"/>
      <c r="D71" s="6"/>
    </row>
    <row r="72" spans="2:4">
      <c r="B72" s="6"/>
      <c r="C72" s="6"/>
      <c r="D72" s="6"/>
    </row>
    <row r="73" spans="2:4">
      <c r="B73" s="6"/>
      <c r="C73" s="6"/>
      <c r="D73" s="6"/>
    </row>
    <row r="74" spans="2:4">
      <c r="B74" s="6"/>
      <c r="C74" s="6"/>
      <c r="D74" s="6"/>
    </row>
    <row r="75" spans="2:4">
      <c r="B75" s="6"/>
      <c r="C75" s="6"/>
      <c r="D75" s="6"/>
    </row>
    <row r="76" spans="2:4">
      <c r="B76" s="6"/>
      <c r="C76" s="6"/>
      <c r="D76" s="6"/>
    </row>
    <row r="77" spans="2:4">
      <c r="B77" s="6"/>
      <c r="C77" s="6"/>
      <c r="D77" s="6"/>
    </row>
    <row r="78" spans="2:4">
      <c r="B78" s="6"/>
      <c r="C78" s="6"/>
      <c r="D78" s="6"/>
    </row>
    <row r="79" spans="2:4">
      <c r="B79" s="6"/>
      <c r="C79" s="6"/>
      <c r="D79" s="6"/>
    </row>
    <row r="80" spans="2:4">
      <c r="B80" s="6"/>
      <c r="C80" s="6"/>
      <c r="D80" s="6"/>
    </row>
    <row r="81" spans="2:4">
      <c r="B81" s="6"/>
      <c r="C81" s="6"/>
      <c r="D81" s="6"/>
    </row>
    <row r="82" spans="2:4">
      <c r="B82" s="6"/>
      <c r="C82" s="6"/>
      <c r="D82" s="6"/>
    </row>
    <row r="83" spans="2:4">
      <c r="B83" s="6"/>
      <c r="C83" s="6"/>
      <c r="D83" s="6"/>
    </row>
    <row r="84" spans="2:4">
      <c r="B84" s="6"/>
      <c r="C84" s="6"/>
      <c r="D84" s="6"/>
    </row>
    <row r="85" spans="2:4">
      <c r="B85" s="6"/>
      <c r="C85" s="6"/>
      <c r="D85" s="6"/>
    </row>
    <row r="86" spans="2:4">
      <c r="B86" s="6"/>
      <c r="C86" s="6"/>
      <c r="D86" s="6"/>
    </row>
    <row r="87" spans="2:4">
      <c r="B87" s="6"/>
      <c r="C87" s="6"/>
      <c r="D87" s="6"/>
    </row>
    <row r="88" spans="2:4">
      <c r="B88" s="6"/>
      <c r="C88" s="6"/>
      <c r="D88" s="6"/>
    </row>
    <row r="89" spans="2:4">
      <c r="B89" s="6"/>
      <c r="C89" s="6"/>
      <c r="D89" s="6"/>
    </row>
    <row r="90" spans="2:4">
      <c r="B90" s="6"/>
      <c r="C90" s="6"/>
      <c r="D90" s="6"/>
    </row>
    <row r="91" spans="2:4">
      <c r="B91" s="6"/>
      <c r="C91" s="6"/>
      <c r="D91" s="6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E92"/>
  <sheetViews>
    <sheetView topLeftCell="A27" workbookViewId="0">
      <selection activeCell="E34" sqref="E34"/>
    </sheetView>
  </sheetViews>
  <sheetFormatPr defaultColWidth="9" defaultRowHeight="14.25"/>
  <cols>
    <col min="2" max="2" width="11" customWidth="1"/>
    <col min="3" max="3" width="15.125" customWidth="1"/>
    <col min="4" max="4" width="18.625" customWidth="1"/>
    <col min="5" max="5" width="79.125" customWidth="1"/>
  </cols>
  <sheetData>
    <row r="3" spans="2:5">
      <c r="B3" s="1" t="s">
        <v>0</v>
      </c>
      <c r="C3" s="1" t="s">
        <v>150</v>
      </c>
      <c r="D3" s="1" t="s">
        <v>151</v>
      </c>
      <c r="E3" s="1" t="s">
        <v>36</v>
      </c>
    </row>
    <row r="4" spans="2:5" ht="28.5">
      <c r="B4" s="2">
        <v>45170</v>
      </c>
      <c r="C4" s="3" t="s">
        <v>152</v>
      </c>
      <c r="D4" s="3" t="s">
        <v>153</v>
      </c>
      <c r="E4" s="4" t="s">
        <v>154</v>
      </c>
    </row>
    <row r="5" spans="2:5" ht="85.5">
      <c r="B5" s="2">
        <v>45271</v>
      </c>
      <c r="C5" s="3" t="s">
        <v>155</v>
      </c>
      <c r="D5" s="3" t="s">
        <v>156</v>
      </c>
      <c r="E5" s="4" t="s">
        <v>157</v>
      </c>
    </row>
    <row r="6" spans="2:5" ht="159" customHeight="1">
      <c r="B6" s="2">
        <v>45348</v>
      </c>
      <c r="C6" s="3" t="s">
        <v>158</v>
      </c>
      <c r="D6" s="3" t="s">
        <v>159</v>
      </c>
      <c r="E6" s="4" t="s">
        <v>160</v>
      </c>
    </row>
    <row r="7" spans="2:5" ht="51.75" customHeight="1">
      <c r="B7" s="2">
        <v>45369</v>
      </c>
      <c r="C7" s="3" t="s">
        <v>161</v>
      </c>
      <c r="D7" s="3" t="s">
        <v>162</v>
      </c>
      <c r="E7" s="4" t="s">
        <v>163</v>
      </c>
    </row>
    <row r="8" spans="2:5">
      <c r="B8" s="2">
        <v>45383</v>
      </c>
      <c r="C8" s="3" t="s">
        <v>59</v>
      </c>
      <c r="D8" s="3" t="s">
        <v>59</v>
      </c>
      <c r="E8" s="3"/>
    </row>
    <row r="9" spans="2:5" ht="71.25">
      <c r="B9" s="2">
        <v>45392</v>
      </c>
      <c r="C9" s="3" t="s">
        <v>164</v>
      </c>
      <c r="D9" s="3" t="s">
        <v>165</v>
      </c>
      <c r="E9" s="4" t="s">
        <v>166</v>
      </c>
    </row>
    <row r="10" spans="2:5" ht="71.25">
      <c r="B10" s="2">
        <v>45406</v>
      </c>
      <c r="C10" s="3" t="s">
        <v>167</v>
      </c>
      <c r="D10" s="3" t="s">
        <v>168</v>
      </c>
      <c r="E10" s="4" t="s">
        <v>169</v>
      </c>
    </row>
    <row r="11" spans="2:5">
      <c r="B11" s="2">
        <v>45432</v>
      </c>
      <c r="C11" s="3" t="s">
        <v>59</v>
      </c>
      <c r="D11" s="3" t="s">
        <v>59</v>
      </c>
      <c r="E11" s="3" t="s">
        <v>59</v>
      </c>
    </row>
    <row r="12" spans="2:5">
      <c r="B12" s="2">
        <v>45446</v>
      </c>
      <c r="C12" s="3" t="s">
        <v>59</v>
      </c>
      <c r="D12" s="3" t="s">
        <v>59</v>
      </c>
      <c r="E12" s="3" t="s">
        <v>59</v>
      </c>
    </row>
    <row r="13" spans="2:5" ht="99.75">
      <c r="B13" s="2">
        <v>45460</v>
      </c>
      <c r="C13" s="3" t="s">
        <v>170</v>
      </c>
      <c r="D13" s="3" t="s">
        <v>171</v>
      </c>
      <c r="E13" s="4" t="s">
        <v>172</v>
      </c>
    </row>
    <row r="14" spans="2:5">
      <c r="B14" s="2">
        <v>45474</v>
      </c>
      <c r="C14" s="3" t="s">
        <v>59</v>
      </c>
      <c r="D14" s="3" t="s">
        <v>59</v>
      </c>
      <c r="E14" s="3" t="s">
        <v>59</v>
      </c>
    </row>
    <row r="15" spans="2:5" ht="42.75">
      <c r="B15" s="2">
        <v>45488</v>
      </c>
      <c r="C15" s="3" t="s">
        <v>173</v>
      </c>
      <c r="D15" s="3" t="s">
        <v>174</v>
      </c>
      <c r="E15" s="4" t="s">
        <v>175</v>
      </c>
    </row>
    <row r="16" spans="2:5" ht="28.5">
      <c r="B16" s="2">
        <v>45492</v>
      </c>
      <c r="C16" s="3" t="s">
        <v>176</v>
      </c>
      <c r="D16" s="3" t="s">
        <v>177</v>
      </c>
      <c r="E16" s="4" t="s">
        <v>178</v>
      </c>
    </row>
    <row r="17" spans="2:5">
      <c r="B17" s="2">
        <v>45502</v>
      </c>
      <c r="C17" s="3" t="s">
        <v>59</v>
      </c>
      <c r="D17" s="3" t="s">
        <v>59</v>
      </c>
      <c r="E17" s="3" t="s">
        <v>59</v>
      </c>
    </row>
    <row r="18" spans="2:5">
      <c r="B18" s="8">
        <v>45510</v>
      </c>
      <c r="C18" s="3" t="s">
        <v>59</v>
      </c>
      <c r="D18" s="3" t="s">
        <v>59</v>
      </c>
      <c r="E18" s="3" t="s">
        <v>59</v>
      </c>
    </row>
    <row r="19" spans="2:5" ht="28.5">
      <c r="B19" s="2">
        <v>45511</v>
      </c>
      <c r="C19" s="3" t="s">
        <v>179</v>
      </c>
      <c r="D19" s="3" t="s">
        <v>180</v>
      </c>
      <c r="E19" s="7" t="s">
        <v>181</v>
      </c>
    </row>
    <row r="20" spans="2:5">
      <c r="B20" s="2">
        <v>45523</v>
      </c>
      <c r="C20" s="3" t="s">
        <v>179</v>
      </c>
      <c r="D20" s="3" t="s">
        <v>180</v>
      </c>
      <c r="E20" s="3" t="s">
        <v>59</v>
      </c>
    </row>
    <row r="21" spans="2:5" ht="28.5">
      <c r="B21" s="8">
        <v>45533</v>
      </c>
      <c r="C21" s="6" t="s">
        <v>182</v>
      </c>
      <c r="D21" s="6" t="s">
        <v>183</v>
      </c>
      <c r="E21" s="7" t="s">
        <v>184</v>
      </c>
    </row>
    <row r="22" spans="2:5" ht="28.5">
      <c r="B22" s="8">
        <v>45546</v>
      </c>
      <c r="C22" s="6" t="s">
        <v>185</v>
      </c>
      <c r="D22" s="6" t="s">
        <v>186</v>
      </c>
      <c r="E22" s="7" t="s">
        <v>187</v>
      </c>
    </row>
    <row r="23" spans="2:5">
      <c r="B23" s="8">
        <v>45564</v>
      </c>
      <c r="C23" s="6" t="s">
        <v>188</v>
      </c>
      <c r="D23" s="6" t="s">
        <v>189</v>
      </c>
      <c r="E23" s="6" t="s">
        <v>190</v>
      </c>
    </row>
    <row r="24" spans="2:5" ht="42.75">
      <c r="B24" s="9">
        <v>45593</v>
      </c>
      <c r="C24" s="10" t="s">
        <v>191</v>
      </c>
      <c r="D24" s="10" t="s">
        <v>192</v>
      </c>
      <c r="E24" s="7" t="s">
        <v>193</v>
      </c>
    </row>
    <row r="25" spans="2:5">
      <c r="B25" s="5">
        <v>45607</v>
      </c>
      <c r="C25" s="3" t="s">
        <v>59</v>
      </c>
      <c r="D25" s="3" t="s">
        <v>59</v>
      </c>
      <c r="E25" s="3" t="s">
        <v>59</v>
      </c>
    </row>
    <row r="26" spans="2:5" ht="42.75">
      <c r="B26" s="8">
        <v>45621</v>
      </c>
      <c r="C26" s="6" t="s">
        <v>194</v>
      </c>
      <c r="D26" s="6" t="s">
        <v>195</v>
      </c>
      <c r="E26" s="7" t="s">
        <v>196</v>
      </c>
    </row>
    <row r="27" spans="2:5" ht="99.75">
      <c r="B27" s="8">
        <v>45637</v>
      </c>
      <c r="C27" s="6" t="s">
        <v>197</v>
      </c>
      <c r="D27" s="6" t="s">
        <v>198</v>
      </c>
      <c r="E27" s="7" t="s">
        <v>199</v>
      </c>
    </row>
    <row r="28" spans="2:5" ht="71.25">
      <c r="B28" s="5">
        <v>45719</v>
      </c>
      <c r="C28" s="6" t="s">
        <v>200</v>
      </c>
      <c r="D28" s="6" t="s">
        <v>201</v>
      </c>
      <c r="E28" s="7" t="s">
        <v>202</v>
      </c>
    </row>
    <row r="29" spans="2:5" ht="71.25">
      <c r="B29" s="5">
        <v>45733</v>
      </c>
      <c r="C29" s="6" t="s">
        <v>203</v>
      </c>
      <c r="D29" s="6" t="s">
        <v>204</v>
      </c>
      <c r="E29" s="7" t="s">
        <v>205</v>
      </c>
    </row>
    <row r="30" spans="2:5">
      <c r="B30" s="5">
        <v>45761</v>
      </c>
      <c r="C30" s="6" t="s">
        <v>206</v>
      </c>
      <c r="D30" s="6" t="s">
        <v>207</v>
      </c>
      <c r="E30" s="7" t="s">
        <v>208</v>
      </c>
    </row>
    <row r="31" spans="2:5">
      <c r="B31" s="5">
        <v>45777</v>
      </c>
      <c r="C31" s="3" t="s">
        <v>59</v>
      </c>
      <c r="D31" s="3" t="s">
        <v>59</v>
      </c>
      <c r="E31" s="3" t="s">
        <v>59</v>
      </c>
    </row>
    <row r="32" spans="2:5">
      <c r="B32" s="5">
        <v>45797</v>
      </c>
      <c r="C32" s="6" t="s">
        <v>209</v>
      </c>
      <c r="D32" s="6" t="s">
        <v>210</v>
      </c>
      <c r="E32" s="7" t="s">
        <v>211</v>
      </c>
    </row>
    <row r="33" spans="2:5">
      <c r="B33" s="5">
        <v>46048</v>
      </c>
      <c r="C33" s="6" t="s">
        <v>212</v>
      </c>
      <c r="D33" s="6" t="s">
        <v>213</v>
      </c>
      <c r="E33" s="6" t="s">
        <v>214</v>
      </c>
    </row>
    <row r="34" spans="2:5">
      <c r="B34" s="6"/>
      <c r="C34" s="6"/>
      <c r="D34" s="6"/>
      <c r="E34" s="6"/>
    </row>
    <row r="35" spans="2:5">
      <c r="B35" s="6"/>
      <c r="C35" s="6"/>
      <c r="D35" s="6"/>
      <c r="E35" s="6"/>
    </row>
    <row r="36" spans="2:5">
      <c r="B36" s="6"/>
      <c r="C36" s="6"/>
      <c r="D36" s="6"/>
      <c r="E36" s="6"/>
    </row>
    <row r="37" spans="2:5">
      <c r="B37" s="6"/>
      <c r="C37" s="6"/>
      <c r="D37" s="6"/>
      <c r="E37" s="6"/>
    </row>
    <row r="38" spans="2:5">
      <c r="B38" s="6"/>
      <c r="C38" s="6"/>
      <c r="D38" s="6"/>
      <c r="E38" s="6"/>
    </row>
    <row r="39" spans="2:5">
      <c r="B39" s="6"/>
      <c r="C39" s="6"/>
      <c r="D39" s="6"/>
      <c r="E39" s="6"/>
    </row>
    <row r="40" spans="2:5">
      <c r="B40" s="6"/>
      <c r="C40" s="6"/>
      <c r="D40" s="6"/>
      <c r="E40" s="6"/>
    </row>
    <row r="41" spans="2:5">
      <c r="B41" s="6"/>
      <c r="C41" s="6"/>
      <c r="D41" s="6"/>
      <c r="E41" s="6"/>
    </row>
    <row r="42" spans="2:5">
      <c r="B42" s="6"/>
      <c r="C42" s="6"/>
      <c r="D42" s="6"/>
      <c r="E42" s="6"/>
    </row>
    <row r="43" spans="2:5">
      <c r="B43" s="6"/>
      <c r="C43" s="6"/>
      <c r="D43" s="6"/>
      <c r="E43" s="6"/>
    </row>
    <row r="44" spans="2:5">
      <c r="B44" s="6"/>
      <c r="C44" s="6"/>
      <c r="D44" s="6"/>
      <c r="E44" s="6"/>
    </row>
    <row r="45" spans="2:5">
      <c r="B45" s="6"/>
      <c r="C45" s="6"/>
      <c r="D45" s="6"/>
      <c r="E45" s="6"/>
    </row>
    <row r="46" spans="2:5">
      <c r="B46" s="6"/>
      <c r="C46" s="6"/>
      <c r="D46" s="6"/>
      <c r="E46" s="6"/>
    </row>
    <row r="47" spans="2:5">
      <c r="B47" s="6"/>
      <c r="C47" s="6"/>
      <c r="D47" s="6"/>
      <c r="E47" s="6"/>
    </row>
    <row r="48" spans="2:5">
      <c r="B48" s="6"/>
      <c r="C48" s="6"/>
      <c r="D48" s="6"/>
      <c r="E48" s="6"/>
    </row>
    <row r="49" spans="2:5">
      <c r="B49" s="6"/>
      <c r="C49" s="6"/>
      <c r="D49" s="6"/>
      <c r="E49" s="6"/>
    </row>
    <row r="50" spans="2:5">
      <c r="B50" s="6"/>
      <c r="C50" s="6"/>
      <c r="D50" s="6"/>
      <c r="E50" s="6"/>
    </row>
    <row r="51" spans="2:5">
      <c r="B51" s="6"/>
      <c r="C51" s="6"/>
      <c r="D51" s="6"/>
      <c r="E51" s="6"/>
    </row>
    <row r="52" spans="2:5">
      <c r="B52" s="6"/>
      <c r="C52" s="6"/>
      <c r="D52" s="6"/>
      <c r="E52" s="6"/>
    </row>
    <row r="53" spans="2:5">
      <c r="B53" s="6"/>
      <c r="C53" s="6"/>
      <c r="D53" s="6"/>
      <c r="E53" s="6"/>
    </row>
    <row r="54" spans="2:5">
      <c r="B54" s="6"/>
      <c r="C54" s="6"/>
      <c r="D54" s="6"/>
      <c r="E54" s="6"/>
    </row>
    <row r="55" spans="2:5">
      <c r="B55" s="6"/>
      <c r="C55" s="6"/>
      <c r="D55" s="6"/>
      <c r="E55" s="6"/>
    </row>
    <row r="56" spans="2:5">
      <c r="B56" s="6"/>
      <c r="C56" s="6"/>
      <c r="D56" s="6"/>
      <c r="E56" s="6"/>
    </row>
    <row r="57" spans="2:5">
      <c r="B57" s="6"/>
      <c r="C57" s="6"/>
      <c r="D57" s="6"/>
      <c r="E57" s="6"/>
    </row>
    <row r="58" spans="2:5">
      <c r="B58" s="6"/>
      <c r="C58" s="6"/>
      <c r="D58" s="6"/>
      <c r="E58" s="6"/>
    </row>
    <row r="59" spans="2:5">
      <c r="B59" s="6"/>
      <c r="C59" s="6"/>
      <c r="D59" s="6"/>
      <c r="E59" s="6"/>
    </row>
    <row r="60" spans="2:5">
      <c r="B60" s="6"/>
      <c r="C60" s="6"/>
      <c r="D60" s="6"/>
      <c r="E60" s="6"/>
    </row>
    <row r="61" spans="2:5">
      <c r="B61" s="6"/>
      <c r="C61" s="6"/>
      <c r="D61" s="6"/>
      <c r="E61" s="6"/>
    </row>
    <row r="62" spans="2:5">
      <c r="B62" s="6"/>
      <c r="C62" s="6"/>
      <c r="D62" s="6"/>
      <c r="E62" s="6"/>
    </row>
    <row r="63" spans="2:5">
      <c r="B63" s="6"/>
      <c r="C63" s="6"/>
      <c r="D63" s="6"/>
      <c r="E63" s="6"/>
    </row>
    <row r="64" spans="2:5">
      <c r="B64" s="6"/>
      <c r="C64" s="6"/>
      <c r="D64" s="6"/>
      <c r="E64" s="6"/>
    </row>
    <row r="65" spans="2:5">
      <c r="B65" s="6"/>
      <c r="C65" s="6"/>
      <c r="D65" s="6"/>
      <c r="E65" s="6"/>
    </row>
    <row r="66" spans="2:5">
      <c r="B66" s="6"/>
      <c r="C66" s="6"/>
      <c r="D66" s="6"/>
      <c r="E66" s="6"/>
    </row>
    <row r="67" spans="2:5">
      <c r="B67" s="6"/>
      <c r="C67" s="6"/>
      <c r="D67" s="6"/>
      <c r="E67" s="6"/>
    </row>
    <row r="68" spans="2:5">
      <c r="B68" s="6"/>
      <c r="C68" s="6"/>
      <c r="D68" s="6"/>
      <c r="E68" s="6"/>
    </row>
    <row r="69" spans="2:5">
      <c r="B69" s="6"/>
      <c r="C69" s="6"/>
      <c r="D69" s="6"/>
      <c r="E69" s="6"/>
    </row>
    <row r="70" spans="2:5">
      <c r="B70" s="6"/>
      <c r="C70" s="6"/>
      <c r="D70" s="6"/>
      <c r="E70" s="6"/>
    </row>
    <row r="71" spans="2:5">
      <c r="B71" s="6"/>
      <c r="C71" s="6"/>
      <c r="D71" s="6"/>
      <c r="E71" s="6"/>
    </row>
    <row r="72" spans="2:5">
      <c r="B72" s="6"/>
      <c r="C72" s="6"/>
      <c r="D72" s="6"/>
      <c r="E72" s="6"/>
    </row>
    <row r="73" spans="2:5">
      <c r="B73" s="6"/>
      <c r="C73" s="6"/>
      <c r="D73" s="6"/>
      <c r="E73" s="6"/>
    </row>
    <row r="74" spans="2:5">
      <c r="B74" s="6"/>
      <c r="C74" s="6"/>
      <c r="D74" s="6"/>
      <c r="E74" s="6"/>
    </row>
    <row r="75" spans="2:5">
      <c r="B75" s="6"/>
      <c r="C75" s="6"/>
      <c r="D75" s="6"/>
      <c r="E75" s="6"/>
    </row>
    <row r="76" spans="2:5">
      <c r="B76" s="6"/>
      <c r="C76" s="6"/>
      <c r="D76" s="6"/>
      <c r="E76" s="6"/>
    </row>
    <row r="77" spans="2:5">
      <c r="B77" s="6"/>
      <c r="C77" s="6"/>
      <c r="D77" s="6"/>
      <c r="E77" s="6"/>
    </row>
    <row r="78" spans="2:5">
      <c r="B78" s="6"/>
      <c r="C78" s="6"/>
      <c r="D78" s="6"/>
      <c r="E78" s="6"/>
    </row>
    <row r="79" spans="2:5">
      <c r="B79" s="6"/>
      <c r="C79" s="6"/>
      <c r="D79" s="6"/>
      <c r="E79" s="6"/>
    </row>
    <row r="80" spans="2:5">
      <c r="B80" s="6"/>
      <c r="C80" s="6"/>
      <c r="D80" s="6"/>
      <c r="E80" s="6"/>
    </row>
    <row r="81" spans="2:5">
      <c r="B81" s="6"/>
      <c r="C81" s="6"/>
      <c r="D81" s="6"/>
      <c r="E81" s="6"/>
    </row>
    <row r="82" spans="2:5">
      <c r="B82" s="6"/>
      <c r="C82" s="6"/>
      <c r="D82" s="6"/>
      <c r="E82" s="6"/>
    </row>
    <row r="83" spans="2:5">
      <c r="B83" s="6"/>
      <c r="C83" s="6"/>
      <c r="D83" s="6"/>
      <c r="E83" s="6"/>
    </row>
    <row r="84" spans="2:5">
      <c r="B84" s="6"/>
      <c r="C84" s="6"/>
      <c r="D84" s="6"/>
      <c r="E84" s="6"/>
    </row>
    <row r="85" spans="2:5">
      <c r="B85" s="6"/>
      <c r="C85" s="6"/>
      <c r="D85" s="6"/>
      <c r="E85" s="6"/>
    </row>
    <row r="86" spans="2:5">
      <c r="B86" s="6"/>
      <c r="C86" s="6"/>
      <c r="D86" s="6"/>
      <c r="E86" s="6"/>
    </row>
    <row r="87" spans="2:5">
      <c r="B87" s="6"/>
      <c r="C87" s="6"/>
      <c r="D87" s="6"/>
      <c r="E87" s="6"/>
    </row>
    <row r="88" spans="2:5">
      <c r="B88" s="6"/>
      <c r="C88" s="6"/>
      <c r="D88" s="6"/>
      <c r="E88" s="6"/>
    </row>
    <row r="89" spans="2:5">
      <c r="B89" s="6"/>
      <c r="C89" s="6"/>
      <c r="D89" s="6"/>
      <c r="E89" s="6"/>
    </row>
    <row r="90" spans="2:5">
      <c r="B90" s="6"/>
      <c r="C90" s="6"/>
      <c r="D90" s="6"/>
      <c r="E90" s="6"/>
    </row>
    <row r="91" spans="2:5">
      <c r="B91" s="6"/>
      <c r="C91" s="6"/>
      <c r="D91" s="6"/>
      <c r="E91" s="6"/>
    </row>
    <row r="92" spans="2:5">
      <c r="B92" s="6"/>
      <c r="C92" s="6"/>
      <c r="D92" s="6"/>
      <c r="E92" s="6"/>
    </row>
  </sheetData>
  <phoneticPr fontId="5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91"/>
  <sheetViews>
    <sheetView topLeftCell="A12" workbookViewId="0"/>
  </sheetViews>
  <sheetFormatPr defaultColWidth="9" defaultRowHeight="14.25"/>
  <cols>
    <col min="2" max="3" width="11" customWidth="1"/>
    <col min="4" max="4" width="53.375" customWidth="1"/>
  </cols>
  <sheetData>
    <row r="3" spans="2:4">
      <c r="B3" s="1" t="s">
        <v>0</v>
      </c>
      <c r="C3" s="1" t="s">
        <v>35</v>
      </c>
      <c r="D3" s="1" t="s">
        <v>36</v>
      </c>
    </row>
    <row r="4" spans="2:4">
      <c r="B4" s="2">
        <v>45230</v>
      </c>
      <c r="C4" s="19" t="s">
        <v>215</v>
      </c>
      <c r="D4" s="3" t="s">
        <v>216</v>
      </c>
    </row>
    <row r="5" spans="2:4" ht="28.5">
      <c r="B5" s="2">
        <v>45271</v>
      </c>
      <c r="C5" s="19" t="s">
        <v>217</v>
      </c>
      <c r="D5" s="4" t="s">
        <v>218</v>
      </c>
    </row>
    <row r="6" spans="2:4" ht="28.5">
      <c r="B6" s="2">
        <v>45306</v>
      </c>
      <c r="C6" s="19" t="s">
        <v>219</v>
      </c>
      <c r="D6" s="4" t="s">
        <v>220</v>
      </c>
    </row>
    <row r="7" spans="2:4">
      <c r="B7" s="2">
        <v>45343</v>
      </c>
      <c r="C7" s="19" t="s">
        <v>221</v>
      </c>
      <c r="D7" s="3" t="s">
        <v>222</v>
      </c>
    </row>
    <row r="8" spans="2:4" ht="42.75">
      <c r="B8" s="2">
        <v>45369</v>
      </c>
      <c r="C8" s="19" t="s">
        <v>223</v>
      </c>
      <c r="D8" s="4" t="s">
        <v>224</v>
      </c>
    </row>
    <row r="9" spans="2:4">
      <c r="B9" s="2">
        <v>45383</v>
      </c>
      <c r="C9" s="19" t="s">
        <v>225</v>
      </c>
      <c r="D9" s="3" t="s">
        <v>226</v>
      </c>
    </row>
    <row r="10" spans="2:4">
      <c r="B10" s="2">
        <v>45397</v>
      </c>
      <c r="C10" s="19" t="s">
        <v>227</v>
      </c>
      <c r="D10" s="3" t="s">
        <v>228</v>
      </c>
    </row>
    <row r="11" spans="2:4">
      <c r="B11" s="2">
        <v>45411</v>
      </c>
      <c r="C11" s="19" t="s">
        <v>229</v>
      </c>
      <c r="D11" s="3" t="s">
        <v>230</v>
      </c>
    </row>
    <row r="12" spans="2:4" ht="57">
      <c r="B12" s="2">
        <v>45432</v>
      </c>
      <c r="C12" s="19" t="s">
        <v>231</v>
      </c>
      <c r="D12" s="4" t="s">
        <v>232</v>
      </c>
    </row>
    <row r="13" spans="2:4" ht="28.5">
      <c r="B13" s="2">
        <v>45446</v>
      </c>
      <c r="C13" s="19" t="s">
        <v>233</v>
      </c>
      <c r="D13" s="4" t="s">
        <v>234</v>
      </c>
    </row>
    <row r="14" spans="2:4">
      <c r="B14" s="2">
        <v>45460</v>
      </c>
      <c r="C14" s="19" t="s">
        <v>235</v>
      </c>
      <c r="D14" s="4" t="s">
        <v>235</v>
      </c>
    </row>
    <row r="15" spans="2:4">
      <c r="B15" s="2">
        <v>45474</v>
      </c>
      <c r="C15" s="19" t="s">
        <v>236</v>
      </c>
      <c r="D15" s="4" t="s">
        <v>237</v>
      </c>
    </row>
    <row r="16" spans="2:4">
      <c r="B16" s="2">
        <v>45488</v>
      </c>
      <c r="C16" s="19" t="s">
        <v>235</v>
      </c>
      <c r="D16" s="4" t="s">
        <v>235</v>
      </c>
    </row>
    <row r="17" spans="2:4">
      <c r="B17" s="5">
        <v>45502</v>
      </c>
      <c r="C17" s="6" t="s">
        <v>235</v>
      </c>
      <c r="D17" s="6" t="s">
        <v>235</v>
      </c>
    </row>
    <row r="18" spans="2:4">
      <c r="B18" s="5">
        <v>45523</v>
      </c>
      <c r="C18" s="6" t="s">
        <v>235</v>
      </c>
      <c r="D18" s="6" t="s">
        <v>235</v>
      </c>
    </row>
    <row r="19" spans="2:4">
      <c r="B19" s="5">
        <v>45537</v>
      </c>
      <c r="C19" s="6" t="s">
        <v>235</v>
      </c>
      <c r="D19" s="6" t="s">
        <v>235</v>
      </c>
    </row>
    <row r="20" spans="2:4">
      <c r="B20" s="5">
        <v>45553</v>
      </c>
      <c r="C20" s="6" t="s">
        <v>235</v>
      </c>
      <c r="D20" s="6" t="s">
        <v>235</v>
      </c>
    </row>
    <row r="21" spans="2:4">
      <c r="B21" s="5">
        <v>45564</v>
      </c>
      <c r="C21" s="19" t="s">
        <v>238</v>
      </c>
      <c r="D21" s="6" t="s">
        <v>239</v>
      </c>
    </row>
    <row r="22" spans="2:4">
      <c r="B22" s="5">
        <v>45579</v>
      </c>
      <c r="C22" s="6" t="s">
        <v>235</v>
      </c>
      <c r="D22" s="6" t="s">
        <v>235</v>
      </c>
    </row>
    <row r="23" spans="2:4">
      <c r="B23" s="5">
        <v>45593</v>
      </c>
      <c r="C23" s="19" t="s">
        <v>240</v>
      </c>
      <c r="D23" s="6" t="s">
        <v>241</v>
      </c>
    </row>
    <row r="24" spans="2:4">
      <c r="B24" s="5">
        <v>45607</v>
      </c>
      <c r="C24" s="19" t="s">
        <v>242</v>
      </c>
      <c r="D24" s="6" t="s">
        <v>243</v>
      </c>
    </row>
    <row r="25" spans="2:4">
      <c r="B25" s="5">
        <v>45621</v>
      </c>
      <c r="C25" s="6" t="s">
        <v>235</v>
      </c>
      <c r="D25" s="6" t="s">
        <v>235</v>
      </c>
    </row>
    <row r="26" spans="2:4">
      <c r="B26" s="5">
        <v>45637</v>
      </c>
      <c r="C26" s="6" t="s">
        <v>235</v>
      </c>
      <c r="D26" s="6" t="s">
        <v>235</v>
      </c>
    </row>
    <row r="27" spans="2:4">
      <c r="B27" s="5">
        <v>45719</v>
      </c>
      <c r="C27" s="6" t="s">
        <v>235</v>
      </c>
      <c r="D27" s="6" t="s">
        <v>235</v>
      </c>
    </row>
    <row r="28" spans="2:4">
      <c r="B28" s="5">
        <v>45733</v>
      </c>
      <c r="C28" s="6" t="s">
        <v>235</v>
      </c>
      <c r="D28" s="6" t="s">
        <v>235</v>
      </c>
    </row>
    <row r="29" spans="2:4">
      <c r="B29" s="5">
        <v>45761</v>
      </c>
      <c r="C29" s="6" t="s">
        <v>235</v>
      </c>
      <c r="D29" s="6" t="s">
        <v>235</v>
      </c>
    </row>
    <row r="30" spans="2:4" ht="28.5">
      <c r="B30" s="5">
        <v>45777</v>
      </c>
      <c r="C30" s="17" t="s">
        <v>244</v>
      </c>
      <c r="D30" s="7" t="s">
        <v>245</v>
      </c>
    </row>
    <row r="31" spans="2:4">
      <c r="B31" s="6"/>
      <c r="C31" s="6"/>
      <c r="D31" s="6"/>
    </row>
    <row r="32" spans="2:4">
      <c r="B32" s="6"/>
      <c r="C32" s="6"/>
      <c r="D32" s="6"/>
    </row>
    <row r="33" spans="2:4">
      <c r="B33" s="6"/>
      <c r="C33" s="6"/>
      <c r="D33" s="6"/>
    </row>
    <row r="34" spans="2:4">
      <c r="B34" s="6"/>
      <c r="C34" s="6"/>
      <c r="D34" s="6"/>
    </row>
    <row r="35" spans="2:4">
      <c r="B35" s="6"/>
      <c r="C35" s="6"/>
      <c r="D35" s="6"/>
    </row>
    <row r="36" spans="2:4">
      <c r="B36" s="6"/>
      <c r="C36" s="6"/>
      <c r="D36" s="6"/>
    </row>
    <row r="37" spans="2:4">
      <c r="B37" s="6"/>
      <c r="C37" s="6"/>
      <c r="D37" s="6"/>
    </row>
    <row r="38" spans="2:4">
      <c r="B38" s="6"/>
      <c r="C38" s="6"/>
      <c r="D38" s="6"/>
    </row>
    <row r="39" spans="2:4">
      <c r="B39" s="6"/>
      <c r="C39" s="6"/>
      <c r="D39" s="6"/>
    </row>
    <row r="40" spans="2:4">
      <c r="B40" s="6"/>
      <c r="C40" s="6"/>
      <c r="D40" s="6"/>
    </row>
    <row r="41" spans="2:4">
      <c r="B41" s="6"/>
      <c r="C41" s="6"/>
      <c r="D41" s="6"/>
    </row>
    <row r="42" spans="2:4">
      <c r="B42" s="6"/>
      <c r="C42" s="6"/>
      <c r="D42" s="6"/>
    </row>
    <row r="43" spans="2:4">
      <c r="B43" s="6"/>
      <c r="C43" s="6"/>
      <c r="D43" s="6"/>
    </row>
    <row r="44" spans="2:4">
      <c r="B44" s="6"/>
      <c r="C44" s="6"/>
      <c r="D44" s="6"/>
    </row>
    <row r="45" spans="2:4">
      <c r="B45" s="6"/>
      <c r="C45" s="6"/>
      <c r="D45" s="6"/>
    </row>
    <row r="46" spans="2:4">
      <c r="B46" s="6"/>
      <c r="C46" s="6"/>
      <c r="D46" s="6"/>
    </row>
    <row r="47" spans="2:4">
      <c r="B47" s="6"/>
      <c r="C47" s="6"/>
      <c r="D47" s="6"/>
    </row>
    <row r="48" spans="2:4">
      <c r="B48" s="6"/>
      <c r="C48" s="6"/>
      <c r="D48" s="6"/>
    </row>
    <row r="49" spans="2:4">
      <c r="B49" s="6"/>
      <c r="C49" s="6"/>
      <c r="D49" s="6"/>
    </row>
    <row r="50" spans="2:4">
      <c r="B50" s="6"/>
      <c r="C50" s="6"/>
      <c r="D50" s="6"/>
    </row>
    <row r="51" spans="2:4">
      <c r="B51" s="6"/>
      <c r="C51" s="6"/>
      <c r="D51" s="6"/>
    </row>
    <row r="52" spans="2:4">
      <c r="B52" s="6"/>
      <c r="C52" s="6"/>
      <c r="D52" s="6"/>
    </row>
    <row r="53" spans="2:4">
      <c r="B53" s="6"/>
      <c r="C53" s="6"/>
      <c r="D53" s="6"/>
    </row>
    <row r="54" spans="2:4">
      <c r="B54" s="6"/>
      <c r="C54" s="6"/>
      <c r="D54" s="6"/>
    </row>
    <row r="55" spans="2:4">
      <c r="B55" s="6"/>
      <c r="C55" s="6"/>
      <c r="D55" s="6"/>
    </row>
    <row r="56" spans="2:4">
      <c r="B56" s="6"/>
      <c r="C56" s="6"/>
      <c r="D56" s="6"/>
    </row>
    <row r="57" spans="2:4">
      <c r="B57" s="6"/>
      <c r="C57" s="6"/>
      <c r="D57" s="6"/>
    </row>
    <row r="58" spans="2:4">
      <c r="B58" s="6"/>
      <c r="C58" s="6"/>
      <c r="D58" s="6"/>
    </row>
    <row r="59" spans="2:4">
      <c r="B59" s="6"/>
      <c r="C59" s="6"/>
      <c r="D59" s="6"/>
    </row>
    <row r="60" spans="2:4">
      <c r="B60" s="6"/>
      <c r="C60" s="6"/>
      <c r="D60" s="6"/>
    </row>
    <row r="61" spans="2:4">
      <c r="B61" s="6"/>
      <c r="C61" s="6"/>
      <c r="D61" s="6"/>
    </row>
    <row r="62" spans="2:4">
      <c r="B62" s="6"/>
      <c r="C62" s="6"/>
      <c r="D62" s="6"/>
    </row>
    <row r="63" spans="2:4">
      <c r="B63" s="6"/>
      <c r="C63" s="6"/>
      <c r="D63" s="6"/>
    </row>
    <row r="64" spans="2:4">
      <c r="B64" s="6"/>
      <c r="C64" s="6"/>
      <c r="D64" s="6"/>
    </row>
    <row r="65" spans="2:4">
      <c r="B65" s="6"/>
      <c r="C65" s="6"/>
      <c r="D65" s="6"/>
    </row>
    <row r="66" spans="2:4">
      <c r="B66" s="6"/>
      <c r="C66" s="6"/>
      <c r="D66" s="6"/>
    </row>
    <row r="67" spans="2:4">
      <c r="B67" s="6"/>
      <c r="C67" s="6"/>
      <c r="D67" s="6"/>
    </row>
    <row r="68" spans="2:4">
      <c r="B68" s="6"/>
      <c r="C68" s="6"/>
      <c r="D68" s="6"/>
    </row>
    <row r="69" spans="2:4">
      <c r="B69" s="6"/>
      <c r="C69" s="6"/>
      <c r="D69" s="6"/>
    </row>
    <row r="70" spans="2:4">
      <c r="B70" s="6"/>
      <c r="C70" s="6"/>
      <c r="D70" s="6"/>
    </row>
    <row r="71" spans="2:4">
      <c r="B71" s="6"/>
      <c r="C71" s="6"/>
      <c r="D71" s="6"/>
    </row>
    <row r="72" spans="2:4">
      <c r="B72" s="6"/>
      <c r="C72" s="6"/>
      <c r="D72" s="6"/>
    </row>
    <row r="73" spans="2:4">
      <c r="B73" s="6"/>
      <c r="C73" s="6"/>
      <c r="D73" s="6"/>
    </row>
    <row r="74" spans="2:4">
      <c r="B74" s="6"/>
      <c r="C74" s="6"/>
      <c r="D74" s="6"/>
    </row>
    <row r="75" spans="2:4">
      <c r="B75" s="6"/>
      <c r="C75" s="6"/>
      <c r="D75" s="6"/>
    </row>
    <row r="76" spans="2:4">
      <c r="B76" s="6"/>
      <c r="C76" s="6"/>
      <c r="D76" s="6"/>
    </row>
    <row r="77" spans="2:4">
      <c r="B77" s="6"/>
      <c r="C77" s="6"/>
      <c r="D77" s="6"/>
    </row>
    <row r="78" spans="2:4">
      <c r="B78" s="6"/>
      <c r="C78" s="6"/>
      <c r="D78" s="6"/>
    </row>
    <row r="79" spans="2:4">
      <c r="B79" s="6"/>
      <c r="C79" s="6"/>
      <c r="D79" s="6"/>
    </row>
    <row r="80" spans="2:4">
      <c r="B80" s="6"/>
      <c r="C80" s="6"/>
      <c r="D80" s="6"/>
    </row>
    <row r="81" spans="2:4">
      <c r="B81" s="6"/>
      <c r="C81" s="6"/>
      <c r="D81" s="6"/>
    </row>
    <row r="82" spans="2:4">
      <c r="B82" s="6"/>
      <c r="C82" s="6"/>
      <c r="D82" s="6"/>
    </row>
    <row r="83" spans="2:4">
      <c r="B83" s="6"/>
      <c r="C83" s="6"/>
      <c r="D83" s="6"/>
    </row>
    <row r="84" spans="2:4">
      <c r="B84" s="6"/>
      <c r="C84" s="6"/>
      <c r="D84" s="6"/>
    </row>
    <row r="85" spans="2:4">
      <c r="B85" s="6"/>
      <c r="C85" s="6"/>
      <c r="D85" s="6"/>
    </row>
    <row r="86" spans="2:4">
      <c r="B86" s="6"/>
      <c r="C86" s="6"/>
      <c r="D86" s="6"/>
    </row>
    <row r="87" spans="2:4">
      <c r="B87" s="6"/>
      <c r="C87" s="6"/>
      <c r="D87" s="6"/>
    </row>
    <row r="88" spans="2:4">
      <c r="B88" s="6"/>
      <c r="C88" s="6"/>
      <c r="D88" s="6"/>
    </row>
    <row r="89" spans="2:4">
      <c r="B89" s="6"/>
      <c r="C89" s="6"/>
      <c r="D89" s="6"/>
    </row>
    <row r="90" spans="2:4">
      <c r="B90" s="6"/>
      <c r="C90" s="6"/>
      <c r="D90" s="6"/>
    </row>
    <row r="91" spans="2:4">
      <c r="B91" s="6"/>
      <c r="C91" s="6"/>
      <c r="D91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統合ソフト</vt:lpstr>
      <vt:lpstr>SOC</vt:lpstr>
      <vt:lpstr>MCU</vt:lpstr>
      <vt:lpstr>Amigo</vt:lpstr>
      <vt:lpstr>CANLIB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HORIO MIZUKI (堀尾 瑞樹)</dc:creator>
  <cp:lastModifiedBy>Haowei Shen(iAuto)</cp:lastModifiedBy>
  <dcterms:created xsi:type="dcterms:W3CDTF">2015-06-05T18:19:00Z</dcterms:created>
  <dcterms:modified xsi:type="dcterms:W3CDTF">2026-07-06T09:20:35Z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D5BE6B0BAFE84FCDB821DC8B74C32EB1_12</vt:lpwstr>
  </property>
  <property fmtid="{D5CDD505-2E9C-101B-9397-08002B2CF9AE}" pid="4" name="CalculationRule">
    <vt:i4>0</vt:i4>
  </property>
</Properties>
</file>